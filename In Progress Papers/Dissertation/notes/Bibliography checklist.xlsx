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Key fixes" sheetId="2" state="visible" r:id="rId4"/>
    <sheet name="Added entries" sheetId="3" state="visible" r:id="rId5"/>
    <sheet name="Unresolved" sheetId="4" state="visible" r:id="rId6"/>
    <sheet name="New literature" sheetId="5" state="visible" r:id="rId7"/>
    <sheet name="Already in library" sheetId="6" state="visible" r:id="rId8"/>
  </sheets>
  <definedNames>
    <definedName function="false" hidden="true" localSheetId="2" name="_xlnm._FilterDatabase" vbProcedure="false">'Added entries'!$A$2:$I$33</definedName>
    <definedName function="false" hidden="true" localSheetId="5" name="_xlnm._FilterDatabase" vbProcedure="false">'Already in library'!$A$2:$E$26</definedName>
    <definedName function="false" hidden="true" localSheetId="1" name="_xlnm._FilterDatabase" vbProcedure="false">'Key fixes'!$A$2:$F$14</definedName>
    <definedName function="false" hidden="true" localSheetId="4" name="_xlnm._FilterDatabase" vbProcedure="false">'New literature'!$A$2:$I$45</definedName>
    <definedName function="false" hidden="true" localSheetId="3" name="_xlnm._FilterDatabase" vbProcedure="false">Unresolved!$A$2:$E$18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<sst xmlns="http://schemas.openxmlformats.org/spreadsheetml/2006/main" count="838" uniqueCount="494">
  <si>
    <t xml:space="preserve">references.bib — merge checklist</t>
  </si>
  <si>
    <t xml:space="preserve">Built 2026-10-09 from eight .bib files: about 35,800 entries in, 24,677 unique citekeys out.</t>
  </si>
  <si>
    <t xml:space="preserve">Tab</t>
  </si>
  <si>
    <t xml:space="preserve">Items</t>
  </si>
  <si>
    <t xml:space="preserve">Still to do</t>
  </si>
  <si>
    <t xml:space="preserve">Done</t>
  </si>
  <si>
    <t xml:space="preserve">Key fixes</t>
  </si>
  <si>
    <t xml:space="preserve">Added entries</t>
  </si>
  <si>
    <t xml:space="preserve">Unresolved</t>
  </si>
  <si>
    <t xml:space="preserve">New literature</t>
  </si>
  <si>
    <t xml:space="preserve">Total</t>
  </si>
  <si>
    <t xml:space="preserve">How to use: set the Status column (yellow) on each tab to Checked, Fixed or Not needed; the counts above update.</t>
  </si>
  <si>
    <t xml:space="preserve">Tags in references.bib (keywords field, not printed): ra-added = from the literature review; ra-recovered = cited but missing; verify = details from memory, check before citing.</t>
  </si>
  <si>
    <t xml:space="preserve">Dropped: bruner_acts_1990 (corrupt notes field). Zotero file paths from the old Linux machine were removed.</t>
  </si>
  <si>
    <t xml:space="preserve">Citation style: Pandoc's default, Chicago author-date. Add a .csl file and uncomment csl: in _quarto.yml to change it.</t>
  </si>
  <si>
    <t xml:space="preserve">Citekeys that meant different works in different source files, plus citations in the text worth a second look.</t>
  </si>
  <si>
    <t xml:space="preserve">Citekey</t>
  </si>
  <si>
    <t xml:space="preserve">Type</t>
  </si>
  <si>
    <t xml:space="preserve">Now points to</t>
  </si>
  <si>
    <t xml:space="preserve">Why</t>
  </si>
  <si>
    <t xml:space="preserve">Status</t>
  </si>
  <si>
    <t xml:space="preserve">Your notes</t>
  </si>
  <si>
    <t xml:space="preserve">nuss01</t>
  </si>
  <si>
    <t xml:space="preserve">Changed by merge</t>
  </si>
  <si>
    <t xml:space="preserve">Upheavals of Thought (2001)</t>
  </si>
  <si>
    <t xml:space="preserve">Cited for emotions as judgments of value; one file had the adaptive-preferences article</t>
  </si>
  <si>
    <t xml:space="preserve">To do</t>
  </si>
  <si>
    <t xml:space="preserve">nuss01a</t>
  </si>
  <si>
    <t xml:space="preserve">The Fragility of Goodness</t>
  </si>
  <si>
    <t xml:space="preserve">Ch. 9 names Fragility; one file had "Non-Relative Virtues"</t>
  </si>
  <si>
    <t xml:space="preserve">nuss86</t>
  </si>
  <si>
    <t xml:space="preserve">The Fragility of Goodness (1986)</t>
  </si>
  <si>
    <t xml:space="preserve">One file had "Commentary on Mourelatos"</t>
  </si>
  <si>
    <t xml:space="preserve">nuss90</t>
  </si>
  <si>
    <t xml:space="preserve">Love's Knowledge (1990)</t>
  </si>
  <si>
    <t xml:space="preserve">Quoted pages run past the "Finely Aware" essay</t>
  </si>
  <si>
    <t xml:space="preserve">gold03</t>
  </si>
  <si>
    <t xml:space="preserve">Goldie, "Narrative, Emotion, and Perspective"</t>
  </si>
  <si>
    <t xml:space="preserve">Cited at p. 60 with Kieran &amp; Lopes 2003</t>
  </si>
  <si>
    <t xml:space="preserve">kind16</t>
  </si>
  <si>
    <t xml:space="preserve">Kind &amp; Kung, introduction to Knowledge Through Imagination</t>
  </si>
  <si>
    <t xml:space="preserve">Cited as Kind &amp; Kung</t>
  </si>
  <si>
    <t xml:space="preserve">lewi78</t>
  </si>
  <si>
    <t xml:space="preserve">Lewis, "Truth in Fiction"</t>
  </si>
  <si>
    <t xml:space="preserve">Cleaner record of the same paper</t>
  </si>
  <si>
    <t xml:space="preserve">nuss95</t>
  </si>
  <si>
    <t xml:space="preserve">Check in text</t>
  </si>
  <si>
    <t xml:space="preserve">"Changing Aristotle's Mind" (as in the library)</t>
  </si>
  <si>
    <t xml:space="preserve">Sentence reads like Poetic Justice (1995); check which work you mean</t>
  </si>
  <si>
    <t xml:space="preserve">leon18</t>
  </si>
  <si>
    <t xml:space="preserve">Leonard 2018, APQ</t>
  </si>
  <si>
    <t xml:space="preserve">Confirm the title ("Transmission" or "Inheritance" view)</t>
  </si>
  <si>
    <t xml:space="preserve">gold09</t>
  </si>
  <si>
    <t xml:space="preserve">Goldberg, "Experts, Semantic and Epistemic" (2009)</t>
  </si>
  <si>
    <t xml:space="preserve">Word version printed it with no author (flag RA-1); now resolved</t>
  </si>
  <si>
    <t xml:space="preserve">nuss85 → nuss85c</t>
  </si>
  <si>
    <t xml:space="preserve">"Finely Aware and Richly Responsible" (1985)</t>
  </si>
  <si>
    <t xml:space="preserve">Golden Bowl quotations should cite @nuss85c, not @nuss85</t>
  </si>
  <si>
    <t xml:space="preserve">abel22 → abel20</t>
  </si>
  <si>
    <t xml:space="preserve">Abell, Fiction: A Philosophical Analysis</t>
  </si>
  <si>
    <t xml:space="preserve">Abell quotations should cite @abel20, not @abel22</t>
  </si>
  <si>
    <t xml:space="preserve">Keys the chapters cite that were missing from every source file. All now resolve.</t>
  </si>
  <si>
    <t xml:space="preserve">How added</t>
  </si>
  <si>
    <t xml:space="preserve">Source key</t>
  </si>
  <si>
    <t xml:space="preserve">Author</t>
  </si>
  <si>
    <t xml:space="preserve">Year</t>
  </si>
  <si>
    <t xml:space="preserve">Title</t>
  </si>
  <si>
    <t xml:space="preserve">Note</t>
  </si>
  <si>
    <t xml:space="preserve">jones99</t>
  </si>
  <si>
    <t xml:space="preserve">Copy of existing entry</t>
  </si>
  <si>
    <t xml:space="preserve">jone99</t>
  </si>
  <si>
    <t xml:space="preserve">Jones</t>
  </si>
  <si>
    <t xml:space="preserve">1999</t>
  </si>
  <si>
    <t xml:space="preserve">Second-Hand Moral Knowledge</t>
  </si>
  <si>
    <t xml:space="preserve">wigg87</t>
  </si>
  <si>
    <t xml:space="preserve">Wigg87</t>
  </si>
  <si>
    <t xml:space="preserve">Wiggins</t>
  </si>
  <si>
    <t xml:space="preserve">1987</t>
  </si>
  <si>
    <t xml:space="preserve">A Sensible Subjectivism?</t>
  </si>
  <si>
    <t xml:space="preserve">darm00b</t>
  </si>
  <si>
    <t xml:space="preserve">darms_sentiment_2000</t>
  </si>
  <si>
    <t xml:space="preserve">D'Arms &amp; Jacobson</t>
  </si>
  <si>
    <t xml:space="preserve">2000</t>
  </si>
  <si>
    <t xml:space="preserve">Sentiment and Value</t>
  </si>
  <si>
    <t xml:space="preserve">zazb17</t>
  </si>
  <si>
    <t xml:space="preserve">zagz17</t>
  </si>
  <si>
    <t xml:space="preserve">Zagzebski</t>
  </si>
  <si>
    <t xml:space="preserve">2017</t>
  </si>
  <si>
    <t xml:space="preserve">Exemplarist Moral Theory</t>
  </si>
  <si>
    <t xml:space="preserve">born20a</t>
  </si>
  <si>
    <t xml:space="preserve">born20</t>
  </si>
  <si>
    <t xml:space="preserve">Born</t>
  </si>
  <si>
    <t xml:space="preserve">2020</t>
  </si>
  <si>
    <t xml:space="preserve">Diversifying MIR: Knowledge and Real-World Challenges, and New Interdisciplinary Futures</t>
  </si>
  <si>
    <t xml:space="preserve">hait03a</t>
  </si>
  <si>
    <t xml:space="preserve">haid03</t>
  </si>
  <si>
    <t xml:space="preserve">Haidt</t>
  </si>
  <si>
    <t xml:space="preserve">2003</t>
  </si>
  <si>
    <t xml:space="preserve">Elevation and the Positive Psychology of Morality</t>
  </si>
  <si>
    <t xml:space="preserve">toma13</t>
  </si>
  <si>
    <t xml:space="preserve">tomaney_parochialism_2013</t>
  </si>
  <si>
    <t xml:space="preserve">Tomaney</t>
  </si>
  <si>
    <t xml:space="preserve">2013</t>
  </si>
  <si>
    <t xml:space="preserve">Parochialism – a defence</t>
  </si>
  <si>
    <t xml:space="preserve">toma13e</t>
  </si>
  <si>
    <t xml:space="preserve">Pages cited (233–34) don't match Tomaney's 658–72</t>
  </si>
  <si>
    <t xml:space="preserve">gilm21</t>
  </si>
  <si>
    <t xml:space="preserve">gilm20</t>
  </si>
  <si>
    <t xml:space="preserve">Gilmore</t>
  </si>
  <si>
    <t xml:space="preserve">Apt Imaginings: Feelings for Fictions and Other Creatures of the Mind</t>
  </si>
  <si>
    <t xml:space="preserve">Apt Imaginings</t>
  </si>
  <si>
    <t xml:space="preserve">malo21</t>
  </si>
  <si>
    <t xml:space="preserve">malo22</t>
  </si>
  <si>
    <t xml:space="preserve">Malone</t>
  </si>
  <si>
    <t xml:space="preserve">2022</t>
  </si>
  <si>
    <t xml:space="preserve">Country Music and the Problem of Authenticity</t>
  </si>
  <si>
    <t xml:space="preserve">dyck19</t>
  </si>
  <si>
    <t xml:space="preserve">dyck21</t>
  </si>
  <si>
    <t xml:space="preserve">Dyck</t>
  </si>
  <si>
    <t xml:space="preserve">2021</t>
  </si>
  <si>
    <t xml:space="preserve">The Aesthetics of Country Music</t>
  </si>
  <si>
    <t xml:space="preserve">gram09</t>
  </si>
  <si>
    <t xml:space="preserve">grah09</t>
  </si>
  <si>
    <t xml:space="preserve">Graham et al.</t>
  </si>
  <si>
    <t xml:space="preserve">2009</t>
  </si>
  <si>
    <t xml:space="preserve">Liberals and Conservatives Rely on Different Sets of Moral Foundations.</t>
  </si>
  <si>
    <t xml:space="preserve">solo93</t>
  </si>
  <si>
    <t xml:space="preserve">solo76</t>
  </si>
  <si>
    <t xml:space="preserve">Solomon</t>
  </si>
  <si>
    <t xml:space="preserve">1993</t>
  </si>
  <si>
    <t xml:space="preserve">The Passions</t>
  </si>
  <si>
    <t xml:space="preserve">Solomon, The Passions, set to 1993 (revised ed.); verify</t>
  </si>
  <si>
    <t xml:space="preserve">layb18</t>
  </si>
  <si>
    <t xml:space="preserve">Rebuilt from Word bibliography</t>
  </si>
  <si>
    <t xml:space="preserve">Laybourn</t>
  </si>
  <si>
    <t xml:space="preserve">2018</t>
  </si>
  <si>
    <t xml:space="preserve">The Cost of Being “Real”: Black Authenticity, Colourism, and Billboard Rap Chart Rankings</t>
  </si>
  <si>
    <t xml:space="preserve">lesl87</t>
  </si>
  <si>
    <t xml:space="preserve">Leslie</t>
  </si>
  <si>
    <t xml:space="preserve">Pretense and Representation: The Origins of “Theory of Mind”</t>
  </si>
  <si>
    <t xml:space="preserve">robi05</t>
  </si>
  <si>
    <t xml:space="preserve">Robinson</t>
  </si>
  <si>
    <t xml:space="preserve">2005</t>
  </si>
  <si>
    <t xml:space="preserve">Deeper Than Reason: Emotion and Its Role in Literature, Music, and Art</t>
  </si>
  <si>
    <t xml:space="preserve">sche24</t>
  </si>
  <si>
    <t xml:space="preserve">Schechtman</t>
  </si>
  <si>
    <t xml:space="preserve">2024</t>
  </si>
  <si>
    <t xml:space="preserve">Self-Narrative, Literary Narrative, and Self-Understanding</t>
  </si>
  <si>
    <t xml:space="preserve">darw13c</t>
  </si>
  <si>
    <t xml:space="preserve">Darwall</t>
  </si>
  <si>
    <t xml:space="preserve">Honor, History, and Relationship: Essays in Second-Personal Ethics II</t>
  </si>
  <si>
    <t xml:space="preserve">gill82</t>
  </si>
  <si>
    <t xml:space="preserve">Identified from context (verify)</t>
  </si>
  <si>
    <t xml:space="preserve">Gilligan</t>
  </si>
  <si>
    <t xml:space="preserve">1982</t>
  </si>
  <si>
    <t xml:space="preserve">In a Different Voice: Psychological Theory and Women's Development</t>
  </si>
  <si>
    <t xml:space="preserve">Details from memory; check against publisher or PhilPapers</t>
  </si>
  <si>
    <t xml:space="preserve">feag96</t>
  </si>
  <si>
    <t xml:space="preserve">Feagin</t>
  </si>
  <si>
    <t xml:space="preserve">1996</t>
  </si>
  <si>
    <t xml:space="preserve">Reading with Feeling: The Aesthetics of Appreciation</t>
  </si>
  <si>
    <t xml:space="preserve">lyon80</t>
  </si>
  <si>
    <t xml:space="preserve">Lyons</t>
  </si>
  <si>
    <t xml:space="preserve">1980</t>
  </si>
  <si>
    <t xml:space="preserve">Emotion</t>
  </si>
  <si>
    <t xml:space="preserve">matr14</t>
  </si>
  <si>
    <t xml:space="preserve">Matravers</t>
  </si>
  <si>
    <t xml:space="preserve">2014</t>
  </si>
  <si>
    <t xml:space="preserve">Fiction and Narrative</t>
  </si>
  <si>
    <t xml:space="preserve">mcgi97</t>
  </si>
  <si>
    <t xml:space="preserve">McGinn</t>
  </si>
  <si>
    <t xml:space="preserve">1997</t>
  </si>
  <si>
    <t xml:space="preserve">Ethics, Evil, and Fiction</t>
  </si>
  <si>
    <t xml:space="preserve">mesk03</t>
  </si>
  <si>
    <t xml:space="preserve">Meskin &amp; Weinberg</t>
  </si>
  <si>
    <t xml:space="preserve">Emotions, Fiction, and Cognitive Architecture</t>
  </si>
  <si>
    <t xml:space="preserve">nich00</t>
  </si>
  <si>
    <t xml:space="preserve">Nichols &amp; Stich</t>
  </si>
  <si>
    <t xml:space="preserve">A Cognitive Theory of Pretense</t>
  </si>
  <si>
    <t xml:space="preserve">putn75</t>
  </si>
  <si>
    <t xml:space="preserve">Putnam</t>
  </si>
  <si>
    <t xml:space="preserve">1975</t>
  </si>
  <si>
    <t xml:space="preserve">The Meaning of ‘Meaning'</t>
  </si>
  <si>
    <t xml:space="preserve">smit95</t>
  </si>
  <si>
    <t xml:space="preserve">Smith</t>
  </si>
  <si>
    <t xml:space="preserve">1995</t>
  </si>
  <si>
    <t xml:space="preserve">Engaging Characters: Fiction, Emotion, and the Cinema</t>
  </si>
  <si>
    <t xml:space="preserve">livi97</t>
  </si>
  <si>
    <t xml:space="preserve">Livingston &amp; Mele</t>
  </si>
  <si>
    <t xml:space="preserve">Evaluating Emotional Responses to Fiction</t>
  </si>
  <si>
    <t xml:space="preserve">hatf92</t>
  </si>
  <si>
    <t xml:space="preserve">Hatfield et al.</t>
  </si>
  <si>
    <t xml:space="preserve">1992</t>
  </si>
  <si>
    <t xml:space="preserve">Primitive Emotional Contagion</t>
  </si>
  <si>
    <t xml:space="preserve">haid03b</t>
  </si>
  <si>
    <t xml:space="preserve">The Moral Emotions</t>
  </si>
  <si>
    <t xml:space="preserve">vian10</t>
  </si>
  <si>
    <t xml:space="preserve">Vianello et al.</t>
  </si>
  <si>
    <t xml:space="preserve">2010</t>
  </si>
  <si>
    <t xml:space="preserve">Elevation at Work: The Effects of Leaders' Moral Excellence</t>
  </si>
  <si>
    <t xml:space="preserve">Keys with no entry in any source file. They print as ??? until fixed. Note the intended work in 'Your notes'.</t>
  </si>
  <si>
    <t xml:space="preserve">Chapter</t>
  </si>
  <si>
    <t xml:space="preserve">Clue</t>
  </si>
  <si>
    <t xml:space="preserve">01 Intro</t>
  </si>
  <si>
    <t xml:space="preserve">coe13</t>
  </si>
  <si>
    <t xml:space="preserve">"Palmer, Begley, and @coe13"</t>
  </si>
  <si>
    <t xml:space="preserve">See</t>
  </si>
  <si>
    <t xml:space="preserve">Typo inside [@See @alfa22 …]; remove the @</t>
  </si>
  <si>
    <t xml:space="preserve">04 Moral Testimony</t>
  </si>
  <si>
    <t xml:space="preserve">audi77</t>
  </si>
  <si>
    <t xml:space="preserve">05 Moral Worth of Well-Being</t>
  </si>
  <si>
    <t xml:space="preserve">triv14</t>
  </si>
  <si>
    <t xml:space="preserve">Trivedi on how a song sounds sad?</t>
  </si>
  <si>
    <t xml:space="preserve">06 Moral Intuition</t>
  </si>
  <si>
    <t xml:space="preserve">carr83</t>
  </si>
  <si>
    <t xml:space="preserve">Fiction-as-institution list</t>
  </si>
  <si>
    <t xml:space="preserve">kopt11</t>
  </si>
  <si>
    <t xml:space="preserve">zipf11</t>
  </si>
  <si>
    <t xml:space="preserve">fiel99</t>
  </si>
  <si>
    <t xml:space="preserve">Fielding</t>
  </si>
  <si>
    <t xml:space="preserve">gold08</t>
  </si>
  <si>
    <t xml:space="preserve">thie00</t>
  </si>
  <si>
    <t xml:space="preserve">wils86</t>
  </si>
  <si>
    <t xml:space="preserve">prin010</t>
  </si>
  <si>
    <t xml:space="preserve">Probably a typo for prin07</t>
  </si>
  <si>
    <t xml:space="preserve">08 Social Identity</t>
  </si>
  <si>
    <t xml:space="preserve">dill13</t>
  </si>
  <si>
    <t xml:space="preserve">09 Understanding and Worth</t>
  </si>
  <si>
    <t xml:space="preserve">gold04</t>
  </si>
  <si>
    <t xml:space="preserve">gree09</t>
  </si>
  <si>
    <t xml:space="preserve">nort97</t>
  </si>
  <si>
    <t xml:space="preserve">Works from the literature review added to references.bib. Anything tagged verify needs checking before you cite it.</t>
  </si>
  <si>
    <t xml:space="preserve">Area</t>
  </si>
  <si>
    <t xml:space="preserve">Venue</t>
  </si>
  <si>
    <t xml:space="preserve">Tags</t>
  </si>
  <si>
    <t xml:space="preserve">Moral testimony and understanding</t>
  </si>
  <si>
    <t xml:space="preserve">dish24</t>
  </si>
  <si>
    <t xml:space="preserve">Dishaw</t>
  </si>
  <si>
    <t xml:space="preserve">Solidarity and the Work of Moral Understanding</t>
  </si>
  <si>
    <t xml:space="preserve">The Philosophical Quarterly</t>
  </si>
  <si>
    <t xml:space="preserve">ra-added</t>
  </si>
  <si>
    <t xml:space="preserve">dish24a</t>
  </si>
  <si>
    <t xml:space="preserve">Moral Understanding Between You and Me</t>
  </si>
  <si>
    <t xml:space="preserve">Philosophy &amp; Public Affairs</t>
  </si>
  <si>
    <t xml:space="preserve">dish24b</t>
  </si>
  <si>
    <t xml:space="preserve">The Object of Moral Understanding</t>
  </si>
  <si>
    <t xml:space="preserve">Ergo: An Open Access Journal of Philosophy</t>
  </si>
  <si>
    <t xml:space="preserve">wila21</t>
  </si>
  <si>
    <t xml:space="preserve">Wiland</t>
  </si>
  <si>
    <t xml:space="preserve">Guided by Voices: Moral Testimony, Advice, and Forging a ‘We'</t>
  </si>
  <si>
    <t xml:space="preserve">Oxford University Press</t>
  </si>
  <si>
    <t xml:space="preserve">woda21</t>
  </si>
  <si>
    <t xml:space="preserve">Wodak</t>
  </si>
  <si>
    <t xml:space="preserve">Approving on the Basis of Moral and Aesthetic Testimony</t>
  </si>
  <si>
    <t xml:space="preserve">Oxford Studies in Metaethics</t>
  </si>
  <si>
    <t xml:space="preserve">boyd20</t>
  </si>
  <si>
    <t xml:space="preserve">Boyd</t>
  </si>
  <si>
    <t xml:space="preserve">Moral Understanding and Cooperative Testimony</t>
  </si>
  <si>
    <t xml:space="preserve">Canadian Journal of Philosophy</t>
  </si>
  <si>
    <t xml:space="preserve">howa21x</t>
  </si>
  <si>
    <t xml:space="preserve">Howard</t>
  </si>
  <si>
    <t xml:space="preserve">The Goals of Moral Worth</t>
  </si>
  <si>
    <t xml:space="preserve">sliw23</t>
  </si>
  <si>
    <t xml:space="preserve">Sliwa</t>
  </si>
  <si>
    <t xml:space="preserve">2023</t>
  </si>
  <si>
    <t xml:space="preserve">Making Sense of Things: Moral Inquiry as Hermeneutical Inquiry</t>
  </si>
  <si>
    <t xml:space="preserve">Philosophy and Phenomenological Research</t>
  </si>
  <si>
    <t xml:space="preserve">sliw23a</t>
  </si>
  <si>
    <t xml:space="preserve">Changing Minds and Hearts: Moral Testimony and Hermeneutical Advice</t>
  </si>
  <si>
    <t xml:space="preserve">ra-added, verify</t>
  </si>
  <si>
    <t xml:space="preserve">file22</t>
  </si>
  <si>
    <t xml:space="preserve">Fileva</t>
  </si>
  <si>
    <t xml:space="preserve">Moral Testimony and Collective Moral Governance</t>
  </si>
  <si>
    <t xml:space="preserve">Australasian Journal of Philosophy</t>
  </si>
  <si>
    <t xml:space="preserve">hopk11</t>
  </si>
  <si>
    <t xml:space="preserve">Hopkins</t>
  </si>
  <si>
    <t xml:space="preserve">2011</t>
  </si>
  <si>
    <t xml:space="preserve">How to Be a Pessimist about Aesthetic Testimony</t>
  </si>
  <si>
    <t xml:space="preserve">The Journal of Philosophy</t>
  </si>
  <si>
    <t xml:space="preserve">Art, fiction and narrative</t>
  </si>
  <si>
    <t xml:space="preserve">haro20</t>
  </si>
  <si>
    <t xml:space="preserve">Harold</t>
  </si>
  <si>
    <t xml:space="preserve">Dangerous Art: On Moral Criticisms of Artwork</t>
  </si>
  <si>
    <t xml:space="preserve">nann20</t>
  </si>
  <si>
    <t xml:space="preserve">Nannicelli</t>
  </si>
  <si>
    <t xml:space="preserve">Artistic Creation and Ethical Criticism</t>
  </si>
  <si>
    <t xml:space="preserve">goff22</t>
  </si>
  <si>
    <t xml:space="preserve">Goffin &amp; Friend</t>
  </si>
  <si>
    <t xml:space="preserve">Learning Implicit Biases from Fiction</t>
  </si>
  <si>
    <t xml:space="preserve">The Journal of Aesthetics and Art Criticism</t>
  </si>
  <si>
    <t xml:space="preserve">gend00b</t>
  </si>
  <si>
    <t xml:space="preserve">Gendler</t>
  </si>
  <si>
    <t xml:space="preserve">The Puzzle of Imaginative Resistance</t>
  </si>
  <si>
    <t xml:space="preserve">nels01</t>
  </si>
  <si>
    <t xml:space="preserve">Nelson</t>
  </si>
  <si>
    <t xml:space="preserve">2001</t>
  </si>
  <si>
    <t xml:space="preserve">Damaged Identities, Narrative Repair</t>
  </si>
  <si>
    <t xml:space="preserve">Cornell University Press</t>
  </si>
  <si>
    <t xml:space="preserve">rea22</t>
  </si>
  <si>
    <t xml:space="preserve">Rea</t>
  </si>
  <si>
    <t xml:space="preserve">The Metaphysics of the Narrative Self</t>
  </si>
  <si>
    <t xml:space="preserve">Journal of the American Philosophical Association</t>
  </si>
  <si>
    <t xml:space="preserve">Music</t>
  </si>
  <si>
    <t xml:space="preserve">hubb14</t>
  </si>
  <si>
    <t xml:space="preserve">Hubbs</t>
  </si>
  <si>
    <t xml:space="preserve">Rednecks, Queers, and Country Music</t>
  </si>
  <si>
    <t xml:space="preserve">University of California Press</t>
  </si>
  <si>
    <t xml:space="preserve">fox04</t>
  </si>
  <si>
    <t xml:space="preserve">Fox</t>
  </si>
  <si>
    <t xml:space="preserve">2004</t>
  </si>
  <si>
    <t xml:space="preserve">Real Country: Music and Language in Working-Class Culture</t>
  </si>
  <si>
    <t xml:space="preserve">Duke University Press</t>
  </si>
  <si>
    <t xml:space="preserve">roys22</t>
  </si>
  <si>
    <t xml:space="preserve">Royster</t>
  </si>
  <si>
    <t xml:space="preserve">Black Country Music: Listening for Revolutions</t>
  </si>
  <si>
    <t xml:space="preserve">University of Texas Press</t>
  </si>
  <si>
    <t xml:space="preserve">deno00</t>
  </si>
  <si>
    <t xml:space="preserve">DeNora</t>
  </si>
  <si>
    <t xml:space="preserve">Music in Everyday Life</t>
  </si>
  <si>
    <t xml:space="preserve">Cambridge University Press</t>
  </si>
  <si>
    <t xml:space="preserve">Moral epistemology and moral progress</t>
  </si>
  <si>
    <t xml:space="preserve">kuma22</t>
  </si>
  <si>
    <t xml:space="preserve">Kumar &amp; Campbell</t>
  </si>
  <si>
    <t xml:space="preserve">A Better Ape: The Evolution of the Moral Mind and How It Made Us Human</t>
  </si>
  <si>
    <t xml:space="preserve">darm23</t>
  </si>
  <si>
    <t xml:space="preserve">Rational Sentimentalism</t>
  </si>
  <si>
    <t xml:space="preserve">camp24</t>
  </si>
  <si>
    <t xml:space="preserve">Campbell</t>
  </si>
  <si>
    <t xml:space="preserve">Moral Epistemology</t>
  </si>
  <si>
    <t xml:space="preserve">The Stanford Encyclopedia of Philosophy</t>
  </si>
  <si>
    <t xml:space="preserve">kitc11</t>
  </si>
  <si>
    <t xml:space="preserve">Kitcher</t>
  </si>
  <si>
    <t xml:space="preserve">The Ethical Project</t>
  </si>
  <si>
    <t xml:space="preserve">Harvard University Press</t>
  </si>
  <si>
    <t xml:space="preserve">ande14x</t>
  </si>
  <si>
    <t xml:space="preserve">Anderson</t>
  </si>
  <si>
    <t xml:space="preserve">Social Movements, Experiments in Living, and Moral Progress: Case Studies from Britain's Abolition of Slavery</t>
  </si>
  <si>
    <t xml:space="preserve">rail14</t>
  </si>
  <si>
    <t xml:space="preserve">Railton</t>
  </si>
  <si>
    <t xml:space="preserve">The Affective Dog and Its Rational Tale: Intuition and Attunement</t>
  </si>
  <si>
    <t xml:space="preserve">Ethics</t>
  </si>
  <si>
    <t xml:space="preserve">AI moral advice</t>
  </si>
  <si>
    <t xml:space="preserve">dill25</t>
  </si>
  <si>
    <t xml:space="preserve">Dillion et al.</t>
  </si>
  <si>
    <t xml:space="preserve">2025</t>
  </si>
  <si>
    <t xml:space="preserve">AI Language Model Rivals Expert Ethicist in Perceived Moral Expertise</t>
  </si>
  <si>
    <t xml:space="preserve">Scientific Reports</t>
  </si>
  <si>
    <t xml:space="preserve">krug23</t>
  </si>
  <si>
    <t xml:space="preserve">Kr\"ugel et al.</t>
  </si>
  <si>
    <t xml:space="preserve">ChatGPT's Inconsistent Moral Advice Influences Users' Judgment</t>
  </si>
  <si>
    <t xml:space="preserve">frit25</t>
  </si>
  <si>
    <t xml:space="preserve">Fritz</t>
  </si>
  <si>
    <t xml:space="preserve">Deference to Opaque Systems and Morally Exemplary Decisions</t>
  </si>
  <si>
    <t xml:space="preserve">AI &amp; Society</t>
  </si>
  <si>
    <t xml:space="preserve">land26</t>
  </si>
  <si>
    <t xml:space="preserve">Landes et al.</t>
  </si>
  <si>
    <t xml:space="preserve">2026</t>
  </si>
  <si>
    <t xml:space="preserve">People Defer to AI Moral Advice, but Not Blindly</t>
  </si>
  <si>
    <t xml:space="preserve">gala25</t>
  </si>
  <si>
    <t xml:space="preserve">Galatolo et al.</t>
  </si>
  <si>
    <t xml:space="preserve">Beyond Ethical Alignment: Evaluating LLMs as Artificial Moral Assistants</t>
  </si>
  <si>
    <t xml:space="preserve">Proceedings of ECAI 2025</t>
  </si>
  <si>
    <t xml:space="preserve">ahar24</t>
  </si>
  <si>
    <t xml:space="preserve">Aharoni et al.</t>
  </si>
  <si>
    <t xml:space="preserve">Attributions toward Artificial Agents in a Modified Moral Turing Test</t>
  </si>
  <si>
    <t xml:space="preserve">Dilemmas and regret</t>
  </si>
  <si>
    <t xml:space="preserve">will76</t>
  </si>
  <si>
    <t xml:space="preserve">Williams</t>
  </si>
  <si>
    <t xml:space="preserve">1976</t>
  </si>
  <si>
    <t xml:space="preserve">Moral Luck</t>
  </si>
  <si>
    <t xml:space="preserve">Proceedings of the Aristotelian Society, Supplementary Volumes</t>
  </si>
  <si>
    <t xml:space="preserve">will65</t>
  </si>
  <si>
    <t xml:space="preserve">1965</t>
  </si>
  <si>
    <t xml:space="preserve">Ethical Consistency</t>
  </si>
  <si>
    <t xml:space="preserve">marc80</t>
  </si>
  <si>
    <t xml:space="preserve">Marcus</t>
  </si>
  <si>
    <t xml:space="preserve">Moral Dilemmas and Consistency</t>
  </si>
  <si>
    <t xml:space="preserve">Emotion and empathy</t>
  </si>
  <si>
    <t xml:space="preserve">dori07</t>
  </si>
  <si>
    <t xml:space="preserve">D\"oring</t>
  </si>
  <si>
    <t xml:space="preserve">2007</t>
  </si>
  <si>
    <t xml:space="preserve">Seeing What to Do: Affective Perception and Rational Motivation</t>
  </si>
  <si>
    <t xml:space="preserve">Dialectica</t>
  </si>
  <si>
    <t xml:space="preserve">keen07</t>
  </si>
  <si>
    <t xml:space="preserve">Keen</t>
  </si>
  <si>
    <t xml:space="preserve">Empathy and the Novel</t>
  </si>
  <si>
    <t xml:space="preserve">bloo16</t>
  </si>
  <si>
    <t xml:space="preserve">Bloom</t>
  </si>
  <si>
    <t xml:space="preserve">2016</t>
  </si>
  <si>
    <t xml:space="preserve">Against Empathy: The Case for Rational Compassion</t>
  </si>
  <si>
    <t xml:space="preserve">Ecco</t>
  </si>
  <si>
    <t xml:space="preserve">Identity</t>
  </si>
  <si>
    <t xml:space="preserve">nguy19x</t>
  </si>
  <si>
    <t xml:space="preserve">Nguyen &amp; Strohl</t>
  </si>
  <si>
    <t xml:space="preserve">2019</t>
  </si>
  <si>
    <t xml:space="preserve">Cultural Appropriation and the Intimacy of Groups</t>
  </si>
  <si>
    <t xml:space="preserve">Philosophical Studies</t>
  </si>
  <si>
    <t xml:space="preserve">higg91</t>
  </si>
  <si>
    <t xml:space="preserve">Higgins</t>
  </si>
  <si>
    <t xml:space="preserve">1991</t>
  </si>
  <si>
    <t xml:space="preserve">The Music of Our Lives</t>
  </si>
  <si>
    <t xml:space="preserve">Temple University Press</t>
  </si>
  <si>
    <t xml:space="preserve">hasl12</t>
  </si>
  <si>
    <t xml:space="preserve">Haslanger</t>
  </si>
  <si>
    <t xml:space="preserve">2012</t>
  </si>
  <si>
    <t xml:space="preserve">Resisting Reality: Social Construction and Social Critique</t>
  </si>
  <si>
    <t xml:space="preserve">appi05</t>
  </si>
  <si>
    <t xml:space="preserve">Appiah</t>
  </si>
  <si>
    <t xml:space="preserve">The Ethics of Identity</t>
  </si>
  <si>
    <t xml:space="preserve">Princeton University Press</t>
  </si>
  <si>
    <t xml:space="preserve">Literature-review works you already had. Cite with these keys.</t>
  </si>
  <si>
    <t xml:space="preserve">call18</t>
  </si>
  <si>
    <t xml:space="preserve">Callahan</t>
  </si>
  <si>
    <t xml:space="preserve">Moral Testimony: A Re-Conceived Understanding Explanation</t>
  </si>
  <si>
    <t xml:space="preserve">howa18</t>
  </si>
  <si>
    <t xml:space="preserve">Sentimentalism about Moral Understanding</t>
  </si>
  <si>
    <t xml:space="preserve">flet16</t>
  </si>
  <si>
    <t xml:space="preserve">Fletcher</t>
  </si>
  <si>
    <t xml:space="preserve">Moral Testimony: Once More with Feeling</t>
  </si>
  <si>
    <t xml:space="preserve">Oxford Studies in Metaethics: 11</t>
  </si>
  <si>
    <t xml:space="preserve">moge17</t>
  </si>
  <si>
    <t xml:space="preserve">Mogensen</t>
  </si>
  <si>
    <t xml:space="preserve">Moral Testimony Pessimism and the Uncertain Value of Authenticity</t>
  </si>
  <si>
    <t xml:space="preserve">Philos Phenomenol Res</t>
  </si>
  <si>
    <t xml:space="preserve">skar16a</t>
  </si>
  <si>
    <t xml:space="preserve">Skarsaune</t>
  </si>
  <si>
    <t xml:space="preserve">Moral Deference and Authentic Interaction</t>
  </si>
  <si>
    <t xml:space="preserve">mcsh18</t>
  </si>
  <si>
    <t xml:space="preserve">McShane</t>
  </si>
  <si>
    <t xml:space="preserve">The Non-Remedial Value of Dependence on Moral Testimony</t>
  </si>
  <si>
    <t xml:space="preserve">Philos Stud</t>
  </si>
  <si>
    <t xml:space="preserve">howe14</t>
  </si>
  <si>
    <t xml:space="preserve">Howell</t>
  </si>
  <si>
    <t xml:space="preserve">Google Morals, Virtue, and the Asymmetry of Deference</t>
  </si>
  <si>
    <t xml:space="preserve">Noûs</t>
  </si>
  <si>
    <t xml:space="preserve">sliw17</t>
  </si>
  <si>
    <t xml:space="preserve">Moral Understanding as Knowing Right from Wrong</t>
  </si>
  <si>
    <t xml:space="preserve">stra04</t>
  </si>
  <si>
    <t xml:space="preserve">Strawson</t>
  </si>
  <si>
    <t xml:space="preserve">Against Narrativity</t>
  </si>
  <si>
    <t xml:space="preserve">Ratio</t>
  </si>
  <si>
    <t xml:space="preserve">fric07</t>
  </si>
  <si>
    <t xml:space="preserve">Fricker</t>
  </si>
  <si>
    <t xml:space="preserve">Epistemic Injustice: Power and the Ethics of Knowing</t>
  </si>
  <si>
    <t xml:space="preserve">medi12</t>
  </si>
  <si>
    <t xml:space="preserve">Medina</t>
  </si>
  <si>
    <t xml:space="preserve">The Epistemology of Resistance</t>
  </si>
  <si>
    <t xml:space="preserve">mill12</t>
  </si>
  <si>
    <t xml:space="preserve">Mills</t>
  </si>
  <si>
    <t xml:space="preserve">White Ignorance</t>
  </si>
  <si>
    <t xml:space="preserve">Black Rights/White Wrongs: The Critique of Racial Liberalism</t>
  </si>
  <si>
    <t xml:space="preserve">buch02</t>
  </si>
  <si>
    <t xml:space="preserve">Buchanan</t>
  </si>
  <si>
    <t xml:space="preserve">SOCIAL MORAL EPISTEMOLOGY</t>
  </si>
  <si>
    <t xml:space="preserve">Social Philosophy and Policy</t>
  </si>
  <si>
    <t xml:space="preserve">camp12</t>
  </si>
  <si>
    <t xml:space="preserve">Campbell &amp; Kumar</t>
  </si>
  <si>
    <t xml:space="preserve">Moral Reasoning on the Ground</t>
  </si>
  <si>
    <t xml:space="preserve">mark10</t>
  </si>
  <si>
    <t xml:space="preserve">Markovits</t>
  </si>
  <si>
    <t xml:space="preserve">Acting for the Right Reasons</t>
  </si>
  <si>
    <t xml:space="preserve">brad13a</t>
  </si>
  <si>
    <t xml:space="preserve">Brady</t>
  </si>
  <si>
    <t xml:space="preserve">Emotional Insight: The Epistemic Role of Emotional Experience</t>
  </si>
  <si>
    <t xml:space="preserve">darb05</t>
  </si>
  <si>
    <t xml:space="preserve">Darby et al.</t>
  </si>
  <si>
    <t xml:space="preserve">Hip Hop and Philosophy: Rhyme 2 Reason</t>
  </si>
  <si>
    <t xml:space="preserve">Open Court Publishing</t>
  </si>
  <si>
    <t xml:space="preserve">stum10</t>
  </si>
  <si>
    <t xml:space="preserve">Stump</t>
  </si>
  <si>
    <t xml:space="preserve">Wandering in Darkness: Narrative and the Problem of Suffering</t>
  </si>
  <si>
    <t xml:space="preserve">lind14</t>
  </si>
  <si>
    <t xml:space="preserve">Lindemann</t>
  </si>
  <si>
    <t xml:space="preserve">Holding and Letting Go: The Social Practice of Personal Identities</t>
  </si>
  <si>
    <t xml:space="preserve">mill14</t>
  </si>
  <si>
    <t xml:space="preserve">Million</t>
  </si>
  <si>
    <t xml:space="preserve">Therapeutic Nations: Healing in an Age of Indigenous Human Rights</t>
  </si>
  <si>
    <t xml:space="preserve">University of Arizona Press</t>
  </si>
  <si>
    <t xml:space="preserve">abel20</t>
  </si>
  <si>
    <t xml:space="preserve">Abell</t>
  </si>
  <si>
    <t xml:space="preserve">Fiction: A Philosophical Analysis</t>
  </si>
  <si>
    <t xml:space="preserve">nuss85c</t>
  </si>
  <si>
    <t xml:space="preserve">Nussbaum</t>
  </si>
  <si>
    <t xml:space="preserve">1985</t>
  </si>
  <si>
    <t xml:space="preserve">Finely Aware and Richly Responsible</t>
  </si>
  <si>
    <t xml:space="preserve">Journal of Philosophy</t>
  </si>
  <si>
    <t xml:space="preserve">benn74</t>
  </si>
  <si>
    <t xml:space="preserve">Bennett</t>
  </si>
  <si>
    <t xml:space="preserve">1974</t>
  </si>
  <si>
    <t xml:space="preserve">The Conscience of Huckleberry Finn</t>
  </si>
  <si>
    <t xml:space="preserve">Philosophy</t>
  </si>
  <si>
    <t xml:space="preserve">tuna20</t>
  </si>
  <si>
    <t xml:space="preserve">Tuna</t>
  </si>
  <si>
    <t xml:space="preserve">Imaginative Resistance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</si>
</sst>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ont>
        <color rgb="FF808080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3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5" t="n">
        <f aca="false">COUNTA('Key fixes'!$E$3:$E$14)</f>
        <v>12</v>
      </c>
      <c r="C5" s="5" t="n">
        <f aca="false">COUNTIF('Key fixes'!$E$3:$E$14,"To do")</f>
        <v>12</v>
      </c>
      <c r="D5" s="4" t="n">
        <f aca="false">B5-C5</f>
        <v>0</v>
      </c>
    </row>
    <row r="6" customFormat="false" ht="15" hidden="false" customHeight="false" outlineLevel="0" collapsed="false">
      <c r="A6" s="4" t="s">
        <v>7</v>
      </c>
      <c r="B6" s="5" t="n">
        <f aca="false">COUNTA('Added entries'!$H$3:$H$33)</f>
        <v>31</v>
      </c>
      <c r="C6" s="5" t="n">
        <f aca="false">COUNTIF('Added entries'!$H$3:$H$33,"To do")</f>
        <v>31</v>
      </c>
      <c r="D6" s="4" t="n">
        <f aca="false">B6-C6</f>
        <v>0</v>
      </c>
    </row>
    <row r="7" customFormat="false" ht="15" hidden="false" customHeight="false" outlineLevel="0" collapsed="false">
      <c r="A7" s="4" t="s">
        <v>8</v>
      </c>
      <c r="B7" s="5" t="n">
        <f aca="false">COUNTA(Unresolved!$D$3:$D$18)</f>
        <v>16</v>
      </c>
      <c r="C7" s="5" t="n">
        <f aca="false">COUNTIF(Unresolved!$D$3:$D$18,"To do")</f>
        <v>16</v>
      </c>
      <c r="D7" s="4" t="n">
        <f aca="false">B7-C7</f>
        <v>0</v>
      </c>
    </row>
    <row r="8" customFormat="false" ht="15" hidden="false" customHeight="false" outlineLevel="0" collapsed="false">
      <c r="A8" s="4" t="s">
        <v>9</v>
      </c>
      <c r="B8" s="5" t="n">
        <f aca="false">COUNTA('New literature'!$H$3:$H$45)</f>
        <v>43</v>
      </c>
      <c r="C8" s="5" t="n">
        <f aca="false">COUNTIF('New literature'!$H$3:$H$45,"To do")</f>
        <v>43</v>
      </c>
      <c r="D8" s="4" t="n">
        <f aca="false">B8-C8</f>
        <v>0</v>
      </c>
    </row>
    <row r="9" customFormat="false" ht="15" hidden="false" customHeight="false" outlineLevel="0" collapsed="false">
      <c r="A9" s="6" t="s">
        <v>10</v>
      </c>
      <c r="B9" s="6" t="n">
        <f aca="false">SUM(B5:B8)</f>
        <v>102</v>
      </c>
      <c r="C9" s="6" t="n">
        <f aca="false">SUM(C5:C8)</f>
        <v>102</v>
      </c>
      <c r="D9" s="6" t="n">
        <f aca="false">SUM(D5:D8)</f>
        <v>0</v>
      </c>
    </row>
    <row r="11" customFormat="false" ht="30" hidden="false" customHeight="true" outlineLevel="0" collapsed="false">
      <c r="A11" s="7" t="s">
        <v>11</v>
      </c>
      <c r="B11" s="7"/>
      <c r="C11" s="7"/>
      <c r="D11" s="7"/>
    </row>
    <row r="12" customFormat="false" ht="30" hidden="false" customHeight="true" outlineLevel="0" collapsed="false">
      <c r="A12" s="7" t="s">
        <v>12</v>
      </c>
      <c r="B12" s="7"/>
      <c r="C12" s="7"/>
      <c r="D12" s="7"/>
    </row>
    <row r="13" customFormat="false" ht="30" hidden="false" customHeight="true" outlineLevel="0" collapsed="false">
      <c r="A13" s="7" t="s">
        <v>13</v>
      </c>
      <c r="B13" s="7"/>
      <c r="C13" s="7"/>
      <c r="D13" s="7"/>
    </row>
    <row r="14" customFormat="false" ht="30" hidden="false" customHeight="true" outlineLevel="0" collapsed="false">
      <c r="A14" s="7" t="s">
        <v>14</v>
      </c>
      <c r="B14" s="7"/>
      <c r="C14" s="7"/>
      <c r="D14" s="7"/>
    </row>
  </sheetData>
  <mergeCells count="4">
    <mergeCell ref="A11:D11"/>
    <mergeCell ref="A12:D12"/>
    <mergeCell ref="A13:D13"/>
    <mergeCell ref="A14:D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6"/>
    <col collapsed="false" customWidth="true" hidden="false" outlineLevel="0" max="3" min="3" style="0" width="44"/>
    <col collapsed="false" customWidth="true" hidden="false" outlineLevel="0" max="4" min="4" style="0" width="60"/>
    <col collapsed="false" customWidth="true" hidden="false" outlineLevel="0" max="5" min="5" style="0" width="12"/>
    <col collapsed="false" customWidth="true" hidden="false" outlineLevel="0" max="6" min="6" style="0" width="30"/>
  </cols>
  <sheetData>
    <row r="1" customFormat="false" ht="30" hidden="false" customHeight="true" outlineLevel="0" collapsed="false">
      <c r="A1" s="8" t="s">
        <v>15</v>
      </c>
      <c r="B1" s="8"/>
      <c r="C1" s="8"/>
      <c r="D1" s="8"/>
      <c r="E1" s="8"/>
      <c r="F1" s="8"/>
    </row>
    <row r="2" customFormat="false" ht="15" hidden="false" customHeight="false" outlineLevel="0" collapsed="false">
      <c r="A2" s="9" t="s">
        <v>16</v>
      </c>
      <c r="B2" s="9" t="s">
        <v>17</v>
      </c>
      <c r="C2" s="9" t="s">
        <v>18</v>
      </c>
      <c r="D2" s="9" t="s">
        <v>19</v>
      </c>
      <c r="E2" s="9" t="s">
        <v>20</v>
      </c>
      <c r="F2" s="9" t="s">
        <v>21</v>
      </c>
    </row>
    <row r="3" customFormat="false" ht="23.85" hidden="false" customHeight="false" outlineLevel="0" collapsed="false">
      <c r="A3" s="10" t="s">
        <v>22</v>
      </c>
      <c r="B3" s="10" t="s">
        <v>23</v>
      </c>
      <c r="C3" s="10" t="s">
        <v>24</v>
      </c>
      <c r="D3" s="10" t="s">
        <v>25</v>
      </c>
      <c r="E3" s="11" t="s">
        <v>26</v>
      </c>
      <c r="F3" s="11"/>
    </row>
    <row r="4" customFormat="false" ht="15" hidden="false" customHeight="false" outlineLevel="0" collapsed="false">
      <c r="A4" s="10" t="s">
        <v>27</v>
      </c>
      <c r="B4" s="10" t="s">
        <v>23</v>
      </c>
      <c r="C4" s="10" t="s">
        <v>28</v>
      </c>
      <c r="D4" s="10" t="s">
        <v>29</v>
      </c>
      <c r="E4" s="11" t="s">
        <v>26</v>
      </c>
      <c r="F4" s="11"/>
    </row>
    <row r="5" customFormat="false" ht="15" hidden="false" customHeight="false" outlineLevel="0" collapsed="false">
      <c r="A5" s="10" t="s">
        <v>30</v>
      </c>
      <c r="B5" s="10" t="s">
        <v>23</v>
      </c>
      <c r="C5" s="10" t="s">
        <v>31</v>
      </c>
      <c r="D5" s="10" t="s">
        <v>32</v>
      </c>
      <c r="E5" s="11" t="s">
        <v>26</v>
      </c>
      <c r="F5" s="11"/>
    </row>
    <row r="6" customFormat="false" ht="15" hidden="false" customHeight="false" outlineLevel="0" collapsed="false">
      <c r="A6" s="10" t="s">
        <v>33</v>
      </c>
      <c r="B6" s="10" t="s">
        <v>23</v>
      </c>
      <c r="C6" s="10" t="s">
        <v>34</v>
      </c>
      <c r="D6" s="10" t="s">
        <v>35</v>
      </c>
      <c r="E6" s="11" t="s">
        <v>26</v>
      </c>
      <c r="F6" s="11"/>
    </row>
    <row r="7" customFormat="false" ht="15" hidden="false" customHeight="false" outlineLevel="0" collapsed="false">
      <c r="A7" s="10" t="s">
        <v>36</v>
      </c>
      <c r="B7" s="10" t="s">
        <v>23</v>
      </c>
      <c r="C7" s="10" t="s">
        <v>37</v>
      </c>
      <c r="D7" s="10" t="s">
        <v>38</v>
      </c>
      <c r="E7" s="11" t="s">
        <v>26</v>
      </c>
      <c r="F7" s="11"/>
    </row>
    <row r="8" customFormat="false" ht="23.85" hidden="false" customHeight="false" outlineLevel="0" collapsed="false">
      <c r="A8" s="10" t="s">
        <v>39</v>
      </c>
      <c r="B8" s="10" t="s">
        <v>23</v>
      </c>
      <c r="C8" s="10" t="s">
        <v>40</v>
      </c>
      <c r="D8" s="10" t="s">
        <v>41</v>
      </c>
      <c r="E8" s="11" t="s">
        <v>26</v>
      </c>
      <c r="F8" s="11"/>
    </row>
    <row r="9" customFormat="false" ht="15" hidden="false" customHeight="false" outlineLevel="0" collapsed="false">
      <c r="A9" s="10" t="s">
        <v>42</v>
      </c>
      <c r="B9" s="10" t="s">
        <v>23</v>
      </c>
      <c r="C9" s="10" t="s">
        <v>43</v>
      </c>
      <c r="D9" s="10" t="s">
        <v>44</v>
      </c>
      <c r="E9" s="11" t="s">
        <v>26</v>
      </c>
      <c r="F9" s="11"/>
    </row>
    <row r="10" customFormat="false" ht="15" hidden="false" customHeight="false" outlineLevel="0" collapsed="false">
      <c r="A10" s="10" t="s">
        <v>45</v>
      </c>
      <c r="B10" s="10" t="s">
        <v>46</v>
      </c>
      <c r="C10" s="10" t="s">
        <v>47</v>
      </c>
      <c r="D10" s="10" t="s">
        <v>48</v>
      </c>
      <c r="E10" s="11" t="s">
        <v>26</v>
      </c>
      <c r="F10" s="11"/>
    </row>
    <row r="11" customFormat="false" ht="15" hidden="false" customHeight="false" outlineLevel="0" collapsed="false">
      <c r="A11" s="10" t="s">
        <v>49</v>
      </c>
      <c r="B11" s="10" t="s">
        <v>46</v>
      </c>
      <c r="C11" s="10" t="s">
        <v>50</v>
      </c>
      <c r="D11" s="10" t="s">
        <v>51</v>
      </c>
      <c r="E11" s="11" t="s">
        <v>26</v>
      </c>
      <c r="F11" s="11"/>
    </row>
    <row r="12" customFormat="false" ht="15" hidden="false" customHeight="false" outlineLevel="0" collapsed="false">
      <c r="A12" s="10" t="s">
        <v>52</v>
      </c>
      <c r="B12" s="10" t="s">
        <v>46</v>
      </c>
      <c r="C12" s="10" t="s">
        <v>53</v>
      </c>
      <c r="D12" s="10" t="s">
        <v>54</v>
      </c>
      <c r="E12" s="11" t="s">
        <v>26</v>
      </c>
      <c r="F12" s="11"/>
    </row>
    <row r="13" customFormat="false" ht="15" hidden="false" customHeight="false" outlineLevel="0" collapsed="false">
      <c r="A13" s="10" t="s">
        <v>55</v>
      </c>
      <c r="B13" s="10" t="s">
        <v>46</v>
      </c>
      <c r="C13" s="10" t="s">
        <v>56</v>
      </c>
      <c r="D13" s="10" t="s">
        <v>57</v>
      </c>
      <c r="E13" s="11" t="s">
        <v>26</v>
      </c>
      <c r="F13" s="11"/>
    </row>
    <row r="14" customFormat="false" ht="15" hidden="false" customHeight="false" outlineLevel="0" collapsed="false">
      <c r="A14" s="10" t="s">
        <v>58</v>
      </c>
      <c r="B14" s="10" t="s">
        <v>46</v>
      </c>
      <c r="C14" s="10" t="s">
        <v>59</v>
      </c>
      <c r="D14" s="10" t="s">
        <v>60</v>
      </c>
      <c r="E14" s="11" t="s">
        <v>26</v>
      </c>
      <c r="F14" s="11"/>
    </row>
  </sheetData>
  <autoFilter ref="A2:F14"/>
  <mergeCells count="1">
    <mergeCell ref="A1:F1"/>
  </mergeCells>
  <conditionalFormatting sqref="A3:F14">
    <cfRule type="expression" priority="2" aboveAverage="0" equalAverage="0" bottom="0" percent="0" rank="0" text="" dxfId="4">
      <formula>OR($E3="Fixed",$E3="Checked",$E3="Not needed")</formula>
    </cfRule>
  </conditionalFormatting>
  <dataValidations count="1">
    <dataValidation allowBlank="true" errorStyle="stop" operator="between" showDropDown="false" showErrorMessage="false" showInputMessage="false" sqref="E3:E14" type="list">
      <formula1>"To do,Checked,Fixed,Not needed"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6"/>
    <col collapsed="false" customWidth="true" hidden="false" outlineLevel="0" max="3" min="3" style="0" width="24"/>
    <col collapsed="false" customWidth="true" hidden="false" outlineLevel="0" max="4" min="4" style="0" width="18"/>
    <col collapsed="false" customWidth="true" hidden="false" outlineLevel="0" max="5" min="5" style="0" width="7"/>
    <col collapsed="false" customWidth="true" hidden="false" outlineLevel="0" max="6" min="6" style="0" width="48"/>
    <col collapsed="false" customWidth="true" hidden="false" outlineLevel="0" max="7" min="7" style="0" width="36"/>
    <col collapsed="false" customWidth="true" hidden="false" outlineLevel="0" max="8" min="8" style="0" width="12"/>
    <col collapsed="false" customWidth="true" hidden="false" outlineLevel="0" max="9" min="9" style="0" width="30"/>
  </cols>
  <sheetData>
    <row r="1" customFormat="false" ht="30" hidden="false" customHeight="true" outlineLevel="0" collapsed="false">
      <c r="A1" s="8" t="s">
        <v>61</v>
      </c>
      <c r="B1" s="8"/>
      <c r="C1" s="8"/>
      <c r="D1" s="8"/>
      <c r="E1" s="8"/>
      <c r="F1" s="8"/>
      <c r="G1" s="8"/>
      <c r="H1" s="8"/>
      <c r="I1" s="8"/>
    </row>
    <row r="2" customFormat="false" ht="15" hidden="false" customHeight="false" outlineLevel="0" collapsed="false">
      <c r="A2" s="9" t="s">
        <v>16</v>
      </c>
      <c r="B2" s="9" t="s">
        <v>62</v>
      </c>
      <c r="C2" s="9" t="s">
        <v>63</v>
      </c>
      <c r="D2" s="9" t="s">
        <v>64</v>
      </c>
      <c r="E2" s="9" t="s">
        <v>65</v>
      </c>
      <c r="F2" s="9" t="s">
        <v>66</v>
      </c>
      <c r="G2" s="9" t="s">
        <v>67</v>
      </c>
      <c r="H2" s="9" t="s">
        <v>20</v>
      </c>
      <c r="I2" s="9" t="s">
        <v>21</v>
      </c>
    </row>
    <row r="3" customFormat="false" ht="15" hidden="false" customHeight="false" outlineLevel="0" collapsed="false">
      <c r="A3" s="10" t="s">
        <v>68</v>
      </c>
      <c r="B3" s="10" t="s">
        <v>69</v>
      </c>
      <c r="C3" s="10" t="s">
        <v>70</v>
      </c>
      <c r="D3" s="10" t="s">
        <v>71</v>
      </c>
      <c r="E3" s="10" t="s">
        <v>72</v>
      </c>
      <c r="F3" s="10" t="s">
        <v>73</v>
      </c>
      <c r="G3" s="10"/>
      <c r="H3" s="11" t="s">
        <v>26</v>
      </c>
      <c r="I3" s="11"/>
    </row>
    <row r="4" customFormat="false" ht="15" hidden="false" customHeight="false" outlineLevel="0" collapsed="false">
      <c r="A4" s="10" t="s">
        <v>74</v>
      </c>
      <c r="B4" s="10" t="s">
        <v>69</v>
      </c>
      <c r="C4" s="10" t="s">
        <v>75</v>
      </c>
      <c r="D4" s="10" t="s">
        <v>76</v>
      </c>
      <c r="E4" s="10" t="s">
        <v>77</v>
      </c>
      <c r="F4" s="10" t="s">
        <v>78</v>
      </c>
      <c r="G4" s="10"/>
      <c r="H4" s="11" t="s">
        <v>26</v>
      </c>
      <c r="I4" s="11"/>
    </row>
    <row r="5" customFormat="false" ht="15" hidden="false" customHeight="false" outlineLevel="0" collapsed="false">
      <c r="A5" s="10" t="s">
        <v>79</v>
      </c>
      <c r="B5" s="10" t="s">
        <v>69</v>
      </c>
      <c r="C5" s="10" t="s">
        <v>80</v>
      </c>
      <c r="D5" s="10" t="s">
        <v>81</v>
      </c>
      <c r="E5" s="10" t="s">
        <v>82</v>
      </c>
      <c r="F5" s="10" t="s">
        <v>83</v>
      </c>
      <c r="G5" s="10"/>
      <c r="H5" s="11" t="s">
        <v>26</v>
      </c>
      <c r="I5" s="11"/>
    </row>
    <row r="6" customFormat="false" ht="15" hidden="false" customHeight="false" outlineLevel="0" collapsed="false">
      <c r="A6" s="10" t="s">
        <v>84</v>
      </c>
      <c r="B6" s="10" t="s">
        <v>69</v>
      </c>
      <c r="C6" s="10" t="s">
        <v>85</v>
      </c>
      <c r="D6" s="10" t="s">
        <v>86</v>
      </c>
      <c r="E6" s="10" t="s">
        <v>87</v>
      </c>
      <c r="F6" s="10" t="s">
        <v>88</v>
      </c>
      <c r="G6" s="10"/>
      <c r="H6" s="11" t="s">
        <v>26</v>
      </c>
      <c r="I6" s="11"/>
    </row>
    <row r="7" customFormat="false" ht="23.85" hidden="false" customHeight="false" outlineLevel="0" collapsed="false">
      <c r="A7" s="10" t="s">
        <v>89</v>
      </c>
      <c r="B7" s="10" t="s">
        <v>69</v>
      </c>
      <c r="C7" s="10" t="s">
        <v>90</v>
      </c>
      <c r="D7" s="10" t="s">
        <v>91</v>
      </c>
      <c r="E7" s="10" t="s">
        <v>92</v>
      </c>
      <c r="F7" s="10" t="s">
        <v>93</v>
      </c>
      <c r="G7" s="10"/>
      <c r="H7" s="11" t="s">
        <v>26</v>
      </c>
      <c r="I7" s="11"/>
    </row>
    <row r="8" customFormat="false" ht="15" hidden="false" customHeight="false" outlineLevel="0" collapsed="false">
      <c r="A8" s="10" t="s">
        <v>94</v>
      </c>
      <c r="B8" s="10" t="s">
        <v>69</v>
      </c>
      <c r="C8" s="10" t="s">
        <v>95</v>
      </c>
      <c r="D8" s="10" t="s">
        <v>96</v>
      </c>
      <c r="E8" s="10" t="s">
        <v>97</v>
      </c>
      <c r="F8" s="10" t="s">
        <v>98</v>
      </c>
      <c r="G8" s="10"/>
      <c r="H8" s="11" t="s">
        <v>26</v>
      </c>
      <c r="I8" s="11"/>
    </row>
    <row r="9" customFormat="false" ht="15" hidden="false" customHeight="false" outlineLevel="0" collapsed="false">
      <c r="A9" s="10" t="s">
        <v>99</v>
      </c>
      <c r="B9" s="10" t="s">
        <v>69</v>
      </c>
      <c r="C9" s="10" t="s">
        <v>100</v>
      </c>
      <c r="D9" s="10" t="s">
        <v>101</v>
      </c>
      <c r="E9" s="10" t="s">
        <v>102</v>
      </c>
      <c r="F9" s="10" t="s">
        <v>103</v>
      </c>
      <c r="G9" s="10"/>
      <c r="H9" s="11" t="s">
        <v>26</v>
      </c>
      <c r="I9" s="11"/>
    </row>
    <row r="10" customFormat="false" ht="23.85" hidden="false" customHeight="false" outlineLevel="0" collapsed="false">
      <c r="A10" s="10" t="s">
        <v>104</v>
      </c>
      <c r="B10" s="10" t="s">
        <v>69</v>
      </c>
      <c r="C10" s="10" t="s">
        <v>100</v>
      </c>
      <c r="D10" s="10" t="s">
        <v>101</v>
      </c>
      <c r="E10" s="10" t="s">
        <v>102</v>
      </c>
      <c r="F10" s="10" t="s">
        <v>103</v>
      </c>
      <c r="G10" s="10" t="s">
        <v>105</v>
      </c>
      <c r="H10" s="11" t="s">
        <v>26</v>
      </c>
      <c r="I10" s="11"/>
    </row>
    <row r="11" customFormat="false" ht="23.85" hidden="false" customHeight="false" outlineLevel="0" collapsed="false">
      <c r="A11" s="10" t="s">
        <v>106</v>
      </c>
      <c r="B11" s="10" t="s">
        <v>69</v>
      </c>
      <c r="C11" s="10" t="s">
        <v>107</v>
      </c>
      <c r="D11" s="10" t="s">
        <v>108</v>
      </c>
      <c r="E11" s="10" t="s">
        <v>92</v>
      </c>
      <c r="F11" s="10" t="s">
        <v>109</v>
      </c>
      <c r="G11" s="10" t="s">
        <v>110</v>
      </c>
      <c r="H11" s="11" t="s">
        <v>26</v>
      </c>
      <c r="I11" s="11"/>
    </row>
    <row r="12" customFormat="false" ht="15" hidden="false" customHeight="false" outlineLevel="0" collapsed="false">
      <c r="A12" s="10" t="s">
        <v>111</v>
      </c>
      <c r="B12" s="10" t="s">
        <v>69</v>
      </c>
      <c r="C12" s="10" t="s">
        <v>112</v>
      </c>
      <c r="D12" s="10" t="s">
        <v>113</v>
      </c>
      <c r="E12" s="10" t="s">
        <v>114</v>
      </c>
      <c r="F12" s="10" t="s">
        <v>115</v>
      </c>
      <c r="G12" s="10"/>
      <c r="H12" s="11" t="s">
        <v>26</v>
      </c>
      <c r="I12" s="11"/>
    </row>
    <row r="13" customFormat="false" ht="15" hidden="false" customHeight="false" outlineLevel="0" collapsed="false">
      <c r="A13" s="10" t="s">
        <v>116</v>
      </c>
      <c r="B13" s="10" t="s">
        <v>69</v>
      </c>
      <c r="C13" s="10" t="s">
        <v>117</v>
      </c>
      <c r="D13" s="10" t="s">
        <v>118</v>
      </c>
      <c r="E13" s="10" t="s">
        <v>119</v>
      </c>
      <c r="F13" s="10" t="s">
        <v>120</v>
      </c>
      <c r="G13" s="10"/>
      <c r="H13" s="11" t="s">
        <v>26</v>
      </c>
      <c r="I13" s="11"/>
    </row>
    <row r="14" customFormat="false" ht="23.85" hidden="false" customHeight="false" outlineLevel="0" collapsed="false">
      <c r="A14" s="10" t="s">
        <v>121</v>
      </c>
      <c r="B14" s="10" t="s">
        <v>69</v>
      </c>
      <c r="C14" s="10" t="s">
        <v>122</v>
      </c>
      <c r="D14" s="10" t="s">
        <v>123</v>
      </c>
      <c r="E14" s="10" t="s">
        <v>124</v>
      </c>
      <c r="F14" s="10" t="s">
        <v>125</v>
      </c>
      <c r="G14" s="10"/>
      <c r="H14" s="11" t="s">
        <v>26</v>
      </c>
      <c r="I14" s="11"/>
    </row>
    <row r="15" customFormat="false" ht="23.85" hidden="false" customHeight="false" outlineLevel="0" collapsed="false">
      <c r="A15" s="10" t="s">
        <v>126</v>
      </c>
      <c r="B15" s="10" t="s">
        <v>69</v>
      </c>
      <c r="C15" s="10" t="s">
        <v>127</v>
      </c>
      <c r="D15" s="10" t="s">
        <v>128</v>
      </c>
      <c r="E15" s="10" t="s">
        <v>129</v>
      </c>
      <c r="F15" s="10" t="s">
        <v>130</v>
      </c>
      <c r="G15" s="10" t="s">
        <v>131</v>
      </c>
      <c r="H15" s="11" t="s">
        <v>26</v>
      </c>
      <c r="I15" s="11"/>
    </row>
    <row r="16" customFormat="false" ht="23.85" hidden="false" customHeight="false" outlineLevel="0" collapsed="false">
      <c r="A16" s="10" t="s">
        <v>132</v>
      </c>
      <c r="B16" s="10" t="s">
        <v>133</v>
      </c>
      <c r="C16" s="10"/>
      <c r="D16" s="10" t="s">
        <v>134</v>
      </c>
      <c r="E16" s="10" t="s">
        <v>135</v>
      </c>
      <c r="F16" s="10" t="s">
        <v>136</v>
      </c>
      <c r="G16" s="10"/>
      <c r="H16" s="11" t="s">
        <v>26</v>
      </c>
      <c r="I16" s="11"/>
    </row>
    <row r="17" customFormat="false" ht="23.85" hidden="false" customHeight="false" outlineLevel="0" collapsed="false">
      <c r="A17" s="10" t="s">
        <v>137</v>
      </c>
      <c r="B17" s="10" t="s">
        <v>133</v>
      </c>
      <c r="C17" s="10"/>
      <c r="D17" s="10" t="s">
        <v>138</v>
      </c>
      <c r="E17" s="10" t="s">
        <v>77</v>
      </c>
      <c r="F17" s="10" t="s">
        <v>139</v>
      </c>
      <c r="G17" s="10"/>
      <c r="H17" s="11" t="s">
        <v>26</v>
      </c>
      <c r="I17" s="11"/>
    </row>
    <row r="18" customFormat="false" ht="23.85" hidden="false" customHeight="false" outlineLevel="0" collapsed="false">
      <c r="A18" s="10" t="s">
        <v>140</v>
      </c>
      <c r="B18" s="10" t="s">
        <v>133</v>
      </c>
      <c r="C18" s="10"/>
      <c r="D18" s="10" t="s">
        <v>141</v>
      </c>
      <c r="E18" s="10" t="s">
        <v>142</v>
      </c>
      <c r="F18" s="10" t="s">
        <v>143</v>
      </c>
      <c r="G18" s="10"/>
      <c r="H18" s="11" t="s">
        <v>26</v>
      </c>
      <c r="I18" s="11"/>
    </row>
    <row r="19" customFormat="false" ht="15" hidden="false" customHeight="false" outlineLevel="0" collapsed="false">
      <c r="A19" s="10" t="s">
        <v>144</v>
      </c>
      <c r="B19" s="10" t="s">
        <v>133</v>
      </c>
      <c r="C19" s="10"/>
      <c r="D19" s="10" t="s">
        <v>145</v>
      </c>
      <c r="E19" s="10" t="s">
        <v>146</v>
      </c>
      <c r="F19" s="10" t="s">
        <v>147</v>
      </c>
      <c r="G19" s="10"/>
      <c r="H19" s="11" t="s">
        <v>26</v>
      </c>
      <c r="I19" s="11"/>
    </row>
    <row r="20" customFormat="false" ht="23.85" hidden="false" customHeight="false" outlineLevel="0" collapsed="false">
      <c r="A20" s="10" t="s">
        <v>148</v>
      </c>
      <c r="B20" s="10" t="s">
        <v>133</v>
      </c>
      <c r="C20" s="10"/>
      <c r="D20" s="10" t="s">
        <v>149</v>
      </c>
      <c r="E20" s="10" t="s">
        <v>102</v>
      </c>
      <c r="F20" s="10" t="s">
        <v>150</v>
      </c>
      <c r="G20" s="10"/>
      <c r="H20" s="11" t="s">
        <v>26</v>
      </c>
      <c r="I20" s="11"/>
    </row>
    <row r="21" customFormat="false" ht="23.85" hidden="false" customHeight="false" outlineLevel="0" collapsed="false">
      <c r="A21" s="10" t="s">
        <v>151</v>
      </c>
      <c r="B21" s="10" t="s">
        <v>152</v>
      </c>
      <c r="C21" s="10"/>
      <c r="D21" s="10" t="s">
        <v>153</v>
      </c>
      <c r="E21" s="10" t="s">
        <v>154</v>
      </c>
      <c r="F21" s="10" t="s">
        <v>155</v>
      </c>
      <c r="G21" s="10" t="s">
        <v>156</v>
      </c>
      <c r="H21" s="11" t="s">
        <v>26</v>
      </c>
      <c r="I21" s="11"/>
    </row>
    <row r="22" customFormat="false" ht="23.85" hidden="false" customHeight="false" outlineLevel="0" collapsed="false">
      <c r="A22" s="10" t="s">
        <v>157</v>
      </c>
      <c r="B22" s="10" t="s">
        <v>152</v>
      </c>
      <c r="C22" s="10"/>
      <c r="D22" s="10" t="s">
        <v>158</v>
      </c>
      <c r="E22" s="10" t="s">
        <v>159</v>
      </c>
      <c r="F22" s="10" t="s">
        <v>160</v>
      </c>
      <c r="G22" s="10" t="s">
        <v>156</v>
      </c>
      <c r="H22" s="11" t="s">
        <v>26</v>
      </c>
      <c r="I22" s="11"/>
    </row>
    <row r="23" customFormat="false" ht="23.85" hidden="false" customHeight="false" outlineLevel="0" collapsed="false">
      <c r="A23" s="10" t="s">
        <v>161</v>
      </c>
      <c r="B23" s="10" t="s">
        <v>152</v>
      </c>
      <c r="C23" s="10"/>
      <c r="D23" s="10" t="s">
        <v>162</v>
      </c>
      <c r="E23" s="10" t="s">
        <v>163</v>
      </c>
      <c r="F23" s="10" t="s">
        <v>164</v>
      </c>
      <c r="G23" s="10" t="s">
        <v>156</v>
      </c>
      <c r="H23" s="11" t="s">
        <v>26</v>
      </c>
      <c r="I23" s="11"/>
    </row>
    <row r="24" customFormat="false" ht="23.85" hidden="false" customHeight="false" outlineLevel="0" collapsed="false">
      <c r="A24" s="10" t="s">
        <v>165</v>
      </c>
      <c r="B24" s="10" t="s">
        <v>152</v>
      </c>
      <c r="C24" s="10"/>
      <c r="D24" s="10" t="s">
        <v>166</v>
      </c>
      <c r="E24" s="10" t="s">
        <v>167</v>
      </c>
      <c r="F24" s="10" t="s">
        <v>168</v>
      </c>
      <c r="G24" s="10" t="s">
        <v>156</v>
      </c>
      <c r="H24" s="11" t="s">
        <v>26</v>
      </c>
      <c r="I24" s="11"/>
    </row>
    <row r="25" customFormat="false" ht="23.85" hidden="false" customHeight="false" outlineLevel="0" collapsed="false">
      <c r="A25" s="10" t="s">
        <v>169</v>
      </c>
      <c r="B25" s="10" t="s">
        <v>152</v>
      </c>
      <c r="C25" s="10"/>
      <c r="D25" s="10" t="s">
        <v>170</v>
      </c>
      <c r="E25" s="10" t="s">
        <v>171</v>
      </c>
      <c r="F25" s="10" t="s">
        <v>172</v>
      </c>
      <c r="G25" s="10" t="s">
        <v>156</v>
      </c>
      <c r="H25" s="11" t="s">
        <v>26</v>
      </c>
      <c r="I25" s="11"/>
    </row>
    <row r="26" customFormat="false" ht="23.85" hidden="false" customHeight="false" outlineLevel="0" collapsed="false">
      <c r="A26" s="10" t="s">
        <v>173</v>
      </c>
      <c r="B26" s="10" t="s">
        <v>152</v>
      </c>
      <c r="C26" s="10"/>
      <c r="D26" s="10" t="s">
        <v>174</v>
      </c>
      <c r="E26" s="10" t="s">
        <v>97</v>
      </c>
      <c r="F26" s="10" t="s">
        <v>175</v>
      </c>
      <c r="G26" s="10" t="s">
        <v>156</v>
      </c>
      <c r="H26" s="11" t="s">
        <v>26</v>
      </c>
      <c r="I26" s="11"/>
    </row>
    <row r="27" customFormat="false" ht="23.85" hidden="false" customHeight="false" outlineLevel="0" collapsed="false">
      <c r="A27" s="10" t="s">
        <v>176</v>
      </c>
      <c r="B27" s="10" t="s">
        <v>152</v>
      </c>
      <c r="C27" s="10"/>
      <c r="D27" s="10" t="s">
        <v>177</v>
      </c>
      <c r="E27" s="10" t="s">
        <v>82</v>
      </c>
      <c r="F27" s="10" t="s">
        <v>178</v>
      </c>
      <c r="G27" s="10" t="s">
        <v>156</v>
      </c>
      <c r="H27" s="11" t="s">
        <v>26</v>
      </c>
      <c r="I27" s="11"/>
    </row>
    <row r="28" customFormat="false" ht="23.85" hidden="false" customHeight="false" outlineLevel="0" collapsed="false">
      <c r="A28" s="10" t="s">
        <v>179</v>
      </c>
      <c r="B28" s="10" t="s">
        <v>152</v>
      </c>
      <c r="C28" s="10"/>
      <c r="D28" s="10" t="s">
        <v>180</v>
      </c>
      <c r="E28" s="10" t="s">
        <v>181</v>
      </c>
      <c r="F28" s="10" t="s">
        <v>182</v>
      </c>
      <c r="G28" s="10" t="s">
        <v>156</v>
      </c>
      <c r="H28" s="11" t="s">
        <v>26</v>
      </c>
      <c r="I28" s="11"/>
    </row>
    <row r="29" customFormat="false" ht="23.85" hidden="false" customHeight="false" outlineLevel="0" collapsed="false">
      <c r="A29" s="10" t="s">
        <v>183</v>
      </c>
      <c r="B29" s="10" t="s">
        <v>152</v>
      </c>
      <c r="C29" s="10"/>
      <c r="D29" s="10" t="s">
        <v>184</v>
      </c>
      <c r="E29" s="10" t="s">
        <v>185</v>
      </c>
      <c r="F29" s="10" t="s">
        <v>186</v>
      </c>
      <c r="G29" s="10" t="s">
        <v>156</v>
      </c>
      <c r="H29" s="11" t="s">
        <v>26</v>
      </c>
      <c r="I29" s="11"/>
    </row>
    <row r="30" customFormat="false" ht="23.85" hidden="false" customHeight="false" outlineLevel="0" collapsed="false">
      <c r="A30" s="10" t="s">
        <v>187</v>
      </c>
      <c r="B30" s="10" t="s">
        <v>152</v>
      </c>
      <c r="C30" s="10"/>
      <c r="D30" s="10" t="s">
        <v>188</v>
      </c>
      <c r="E30" s="10" t="s">
        <v>171</v>
      </c>
      <c r="F30" s="10" t="s">
        <v>189</v>
      </c>
      <c r="G30" s="10" t="s">
        <v>156</v>
      </c>
      <c r="H30" s="11" t="s">
        <v>26</v>
      </c>
      <c r="I30" s="11"/>
    </row>
    <row r="31" customFormat="false" ht="23.85" hidden="false" customHeight="false" outlineLevel="0" collapsed="false">
      <c r="A31" s="10" t="s">
        <v>190</v>
      </c>
      <c r="B31" s="10" t="s">
        <v>152</v>
      </c>
      <c r="C31" s="10"/>
      <c r="D31" s="10" t="s">
        <v>191</v>
      </c>
      <c r="E31" s="10" t="s">
        <v>192</v>
      </c>
      <c r="F31" s="10" t="s">
        <v>193</v>
      </c>
      <c r="G31" s="10" t="s">
        <v>156</v>
      </c>
      <c r="H31" s="11" t="s">
        <v>26</v>
      </c>
      <c r="I31" s="11"/>
    </row>
    <row r="32" customFormat="false" ht="23.85" hidden="false" customHeight="false" outlineLevel="0" collapsed="false">
      <c r="A32" s="10" t="s">
        <v>194</v>
      </c>
      <c r="B32" s="10" t="s">
        <v>152</v>
      </c>
      <c r="C32" s="10"/>
      <c r="D32" s="10" t="s">
        <v>96</v>
      </c>
      <c r="E32" s="10" t="s">
        <v>97</v>
      </c>
      <c r="F32" s="10" t="s">
        <v>195</v>
      </c>
      <c r="G32" s="10" t="s">
        <v>156</v>
      </c>
      <c r="H32" s="11" t="s">
        <v>26</v>
      </c>
      <c r="I32" s="11"/>
    </row>
    <row r="33" customFormat="false" ht="23.85" hidden="false" customHeight="false" outlineLevel="0" collapsed="false">
      <c r="A33" s="10" t="s">
        <v>196</v>
      </c>
      <c r="B33" s="10" t="s">
        <v>152</v>
      </c>
      <c r="C33" s="10"/>
      <c r="D33" s="10" t="s">
        <v>197</v>
      </c>
      <c r="E33" s="10" t="s">
        <v>198</v>
      </c>
      <c r="F33" s="10" t="s">
        <v>199</v>
      </c>
      <c r="G33" s="10" t="s">
        <v>156</v>
      </c>
      <c r="H33" s="11" t="s">
        <v>26</v>
      </c>
      <c r="I33" s="11"/>
    </row>
  </sheetData>
  <autoFilter ref="A2:I33"/>
  <mergeCells count="1">
    <mergeCell ref="A1:I1"/>
  </mergeCells>
  <conditionalFormatting sqref="A3:I33">
    <cfRule type="expression" priority="2" aboveAverage="0" equalAverage="0" bottom="0" percent="0" rank="0" text="" dxfId="4">
      <formula>OR($H3="Fixed",$H3="Checked",$H3="Not needed")</formula>
    </cfRule>
  </conditionalFormatting>
  <dataValidations count="1">
    <dataValidation allowBlank="true" errorStyle="stop" operator="between" showDropDown="false" showErrorMessage="false" showInputMessage="false" sqref="H3:H33" type="list">
      <formula1>"To do,Checked,Fixed,Not needed"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2"/>
    <col collapsed="false" customWidth="true" hidden="false" outlineLevel="0" max="3" min="3" style="0" width="44"/>
    <col collapsed="false" customWidth="true" hidden="false" outlineLevel="0" max="4" min="4" style="0" width="12"/>
    <col collapsed="false" customWidth="true" hidden="false" outlineLevel="0" max="5" min="5" style="0" width="30"/>
  </cols>
  <sheetData>
    <row r="1" customFormat="false" ht="30" hidden="false" customHeight="true" outlineLevel="0" collapsed="false">
      <c r="A1" s="8" t="s">
        <v>200</v>
      </c>
      <c r="B1" s="8"/>
      <c r="C1" s="8"/>
      <c r="D1" s="8"/>
      <c r="E1" s="8"/>
    </row>
    <row r="2" customFormat="false" ht="15" hidden="false" customHeight="false" outlineLevel="0" collapsed="false">
      <c r="A2" s="9" t="s">
        <v>201</v>
      </c>
      <c r="B2" s="9" t="s">
        <v>16</v>
      </c>
      <c r="C2" s="9" t="s">
        <v>202</v>
      </c>
      <c r="D2" s="9" t="s">
        <v>20</v>
      </c>
      <c r="E2" s="9" t="s">
        <v>21</v>
      </c>
    </row>
    <row r="3" customFormat="false" ht="15" hidden="false" customHeight="false" outlineLevel="0" collapsed="false">
      <c r="A3" s="10" t="s">
        <v>203</v>
      </c>
      <c r="B3" s="10" t="s">
        <v>204</v>
      </c>
      <c r="C3" s="10" t="s">
        <v>205</v>
      </c>
      <c r="D3" s="11" t="s">
        <v>26</v>
      </c>
      <c r="E3" s="11"/>
    </row>
    <row r="4" customFormat="false" ht="15" hidden="false" customHeight="false" outlineLevel="0" collapsed="false">
      <c r="A4" s="10" t="s">
        <v>203</v>
      </c>
      <c r="B4" s="10" t="s">
        <v>206</v>
      </c>
      <c r="C4" s="10" t="s">
        <v>207</v>
      </c>
      <c r="D4" s="11" t="s">
        <v>26</v>
      </c>
      <c r="E4" s="11"/>
    </row>
    <row r="5" customFormat="false" ht="15" hidden="false" customHeight="false" outlineLevel="0" collapsed="false">
      <c r="A5" s="10" t="s">
        <v>208</v>
      </c>
      <c r="B5" s="10" t="s">
        <v>209</v>
      </c>
      <c r="C5" s="10"/>
      <c r="D5" s="11" t="s">
        <v>26</v>
      </c>
      <c r="E5" s="11"/>
    </row>
    <row r="6" customFormat="false" ht="15" hidden="false" customHeight="false" outlineLevel="0" collapsed="false">
      <c r="A6" s="10" t="s">
        <v>210</v>
      </c>
      <c r="B6" s="10" t="s">
        <v>211</v>
      </c>
      <c r="C6" s="10" t="s">
        <v>212</v>
      </c>
      <c r="D6" s="11" t="s">
        <v>26</v>
      </c>
      <c r="E6" s="11"/>
    </row>
    <row r="7" customFormat="false" ht="15" hidden="false" customHeight="false" outlineLevel="0" collapsed="false">
      <c r="A7" s="10" t="s">
        <v>213</v>
      </c>
      <c r="B7" s="10" t="s">
        <v>214</v>
      </c>
      <c r="C7" s="10" t="s">
        <v>215</v>
      </c>
      <c r="D7" s="11" t="s">
        <v>26</v>
      </c>
      <c r="E7" s="11"/>
    </row>
    <row r="8" customFormat="false" ht="15" hidden="false" customHeight="false" outlineLevel="0" collapsed="false">
      <c r="A8" s="10" t="s">
        <v>213</v>
      </c>
      <c r="B8" s="10" t="s">
        <v>216</v>
      </c>
      <c r="C8" s="10" t="s">
        <v>215</v>
      </c>
      <c r="D8" s="11" t="s">
        <v>26</v>
      </c>
      <c r="E8" s="11"/>
    </row>
    <row r="9" customFormat="false" ht="15" hidden="false" customHeight="false" outlineLevel="0" collapsed="false">
      <c r="A9" s="10" t="s">
        <v>213</v>
      </c>
      <c r="B9" s="10" t="s">
        <v>217</v>
      </c>
      <c r="C9" s="10" t="s">
        <v>215</v>
      </c>
      <c r="D9" s="11" t="s">
        <v>26</v>
      </c>
      <c r="E9" s="11"/>
    </row>
    <row r="10" customFormat="false" ht="15" hidden="false" customHeight="false" outlineLevel="0" collapsed="false">
      <c r="A10" s="10" t="s">
        <v>213</v>
      </c>
      <c r="B10" s="10" t="s">
        <v>218</v>
      </c>
      <c r="C10" s="10" t="s">
        <v>219</v>
      </c>
      <c r="D10" s="11" t="s">
        <v>26</v>
      </c>
      <c r="E10" s="11"/>
    </row>
    <row r="11" customFormat="false" ht="15" hidden="false" customHeight="false" outlineLevel="0" collapsed="false">
      <c r="A11" s="10" t="s">
        <v>213</v>
      </c>
      <c r="B11" s="10" t="s">
        <v>220</v>
      </c>
      <c r="C11" s="10"/>
      <c r="D11" s="11" t="s">
        <v>26</v>
      </c>
      <c r="E11" s="11"/>
    </row>
    <row r="12" customFormat="false" ht="15" hidden="false" customHeight="false" outlineLevel="0" collapsed="false">
      <c r="A12" s="10" t="s">
        <v>213</v>
      </c>
      <c r="B12" s="10" t="s">
        <v>221</v>
      </c>
      <c r="C12" s="10"/>
      <c r="D12" s="11" t="s">
        <v>26</v>
      </c>
      <c r="E12" s="11"/>
    </row>
    <row r="13" customFormat="false" ht="15" hidden="false" customHeight="false" outlineLevel="0" collapsed="false">
      <c r="A13" s="10" t="s">
        <v>213</v>
      </c>
      <c r="B13" s="10" t="s">
        <v>222</v>
      </c>
      <c r="C13" s="10"/>
      <c r="D13" s="11" t="s">
        <v>26</v>
      </c>
      <c r="E13" s="11"/>
    </row>
    <row r="14" customFormat="false" ht="15" hidden="false" customHeight="false" outlineLevel="0" collapsed="false">
      <c r="A14" s="10" t="s">
        <v>213</v>
      </c>
      <c r="B14" s="10" t="s">
        <v>223</v>
      </c>
      <c r="C14" s="10" t="s">
        <v>224</v>
      </c>
      <c r="D14" s="11" t="s">
        <v>26</v>
      </c>
      <c r="E14" s="11"/>
    </row>
    <row r="15" customFormat="false" ht="15" hidden="false" customHeight="false" outlineLevel="0" collapsed="false">
      <c r="A15" s="10" t="s">
        <v>225</v>
      </c>
      <c r="B15" s="10" t="s">
        <v>226</v>
      </c>
      <c r="C15" s="10"/>
      <c r="D15" s="11" t="s">
        <v>26</v>
      </c>
      <c r="E15" s="11"/>
    </row>
    <row r="16" customFormat="false" ht="15" hidden="false" customHeight="false" outlineLevel="0" collapsed="false">
      <c r="A16" s="10" t="s">
        <v>227</v>
      </c>
      <c r="B16" s="10" t="s">
        <v>228</v>
      </c>
      <c r="C16" s="10"/>
      <c r="D16" s="11" t="s">
        <v>26</v>
      </c>
      <c r="E16" s="11"/>
    </row>
    <row r="17" customFormat="false" ht="15" hidden="false" customHeight="false" outlineLevel="0" collapsed="false">
      <c r="A17" s="10" t="s">
        <v>227</v>
      </c>
      <c r="B17" s="10" t="s">
        <v>229</v>
      </c>
      <c r="C17" s="10"/>
      <c r="D17" s="11" t="s">
        <v>26</v>
      </c>
      <c r="E17" s="11"/>
    </row>
    <row r="18" customFormat="false" ht="15" hidden="false" customHeight="false" outlineLevel="0" collapsed="false">
      <c r="A18" s="10" t="s">
        <v>227</v>
      </c>
      <c r="B18" s="10" t="s">
        <v>230</v>
      </c>
      <c r="C18" s="10"/>
      <c r="D18" s="11" t="s">
        <v>26</v>
      </c>
      <c r="E18" s="11"/>
    </row>
  </sheetData>
  <autoFilter ref="A2:E18"/>
  <mergeCells count="1">
    <mergeCell ref="A1:E1"/>
  </mergeCells>
  <conditionalFormatting sqref="A3:E18">
    <cfRule type="expression" priority="2" aboveAverage="0" equalAverage="0" bottom="0" percent="0" rank="0" text="" dxfId="4">
      <formula>OR($D3="Fixed",$D3="Checked",$D3="Not needed")</formula>
    </cfRule>
  </conditionalFormatting>
  <dataValidations count="1">
    <dataValidation allowBlank="true" errorStyle="stop" operator="between" showDropDown="false" showErrorMessage="false" showInputMessage="false" sqref="D3:D18" type="list">
      <formula1>"To do,Checked,Fixed,Not needed"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"/>
    <col collapsed="false" customWidth="true" hidden="false" outlineLevel="0" max="3" min="3" style="0" width="20"/>
    <col collapsed="false" customWidth="true" hidden="false" outlineLevel="0" max="4" min="4" style="0" width="7"/>
    <col collapsed="false" customWidth="true" hidden="false" outlineLevel="0" max="5" min="5" style="0" width="50"/>
    <col collapsed="false" customWidth="true" hidden="false" outlineLevel="0" max="6" min="6" style="0" width="30"/>
    <col collapsed="false" customWidth="true" hidden="false" outlineLevel="0" max="7" min="7" style="0" width="16"/>
    <col collapsed="false" customWidth="true" hidden="false" outlineLevel="0" max="8" min="8" style="0" width="12"/>
    <col collapsed="false" customWidth="true" hidden="false" outlineLevel="0" max="9" min="9" style="0" width="30"/>
  </cols>
  <sheetData>
    <row r="1" customFormat="false" ht="30" hidden="false" customHeight="true" outlineLevel="0" collapsed="false">
      <c r="A1" s="8" t="s">
        <v>231</v>
      </c>
      <c r="B1" s="8"/>
      <c r="C1" s="8"/>
      <c r="D1" s="8"/>
      <c r="E1" s="8"/>
      <c r="F1" s="8"/>
      <c r="G1" s="8"/>
      <c r="H1" s="8"/>
      <c r="I1" s="8"/>
    </row>
    <row r="2" customFormat="false" ht="15" hidden="false" customHeight="false" outlineLevel="0" collapsed="false">
      <c r="A2" s="9" t="s">
        <v>232</v>
      </c>
      <c r="B2" s="9" t="s">
        <v>16</v>
      </c>
      <c r="C2" s="9" t="s">
        <v>64</v>
      </c>
      <c r="D2" s="9" t="s">
        <v>65</v>
      </c>
      <c r="E2" s="9" t="s">
        <v>66</v>
      </c>
      <c r="F2" s="9" t="s">
        <v>233</v>
      </c>
      <c r="G2" s="9" t="s">
        <v>234</v>
      </c>
      <c r="H2" s="9" t="s">
        <v>20</v>
      </c>
      <c r="I2" s="9" t="s">
        <v>21</v>
      </c>
    </row>
    <row r="3" customFormat="false" ht="15" hidden="false" customHeight="false" outlineLevel="0" collapsed="false">
      <c r="A3" s="10" t="s">
        <v>235</v>
      </c>
      <c r="B3" s="10" t="s">
        <v>236</v>
      </c>
      <c r="C3" s="10" t="s">
        <v>237</v>
      </c>
      <c r="D3" s="10" t="s">
        <v>146</v>
      </c>
      <c r="E3" s="10" t="s">
        <v>238</v>
      </c>
      <c r="F3" s="10" t="s">
        <v>239</v>
      </c>
      <c r="G3" s="10" t="s">
        <v>240</v>
      </c>
      <c r="H3" s="11" t="s">
        <v>26</v>
      </c>
      <c r="I3" s="11"/>
    </row>
    <row r="4" customFormat="false" ht="15" hidden="false" customHeight="false" outlineLevel="0" collapsed="false">
      <c r="A4" s="10" t="s">
        <v>235</v>
      </c>
      <c r="B4" s="10" t="s">
        <v>241</v>
      </c>
      <c r="C4" s="10" t="s">
        <v>237</v>
      </c>
      <c r="D4" s="10" t="s">
        <v>146</v>
      </c>
      <c r="E4" s="10" t="s">
        <v>242</v>
      </c>
      <c r="F4" s="10" t="s">
        <v>243</v>
      </c>
      <c r="G4" s="10" t="s">
        <v>240</v>
      </c>
      <c r="H4" s="11" t="s">
        <v>26</v>
      </c>
      <c r="I4" s="11"/>
    </row>
    <row r="5" customFormat="false" ht="23.85" hidden="false" customHeight="false" outlineLevel="0" collapsed="false">
      <c r="A5" s="10" t="s">
        <v>235</v>
      </c>
      <c r="B5" s="10" t="s">
        <v>244</v>
      </c>
      <c r="C5" s="10" t="s">
        <v>237</v>
      </c>
      <c r="D5" s="10" t="s">
        <v>146</v>
      </c>
      <c r="E5" s="10" t="s">
        <v>245</v>
      </c>
      <c r="F5" s="10" t="s">
        <v>246</v>
      </c>
      <c r="G5" s="10" t="s">
        <v>240</v>
      </c>
      <c r="H5" s="11" t="s">
        <v>26</v>
      </c>
      <c r="I5" s="11"/>
    </row>
    <row r="6" customFormat="false" ht="23.85" hidden="false" customHeight="false" outlineLevel="0" collapsed="false">
      <c r="A6" s="10" t="s">
        <v>235</v>
      </c>
      <c r="B6" s="10" t="s">
        <v>247</v>
      </c>
      <c r="C6" s="10" t="s">
        <v>248</v>
      </c>
      <c r="D6" s="10" t="s">
        <v>119</v>
      </c>
      <c r="E6" s="10" t="s">
        <v>249</v>
      </c>
      <c r="F6" s="10" t="s">
        <v>250</v>
      </c>
      <c r="G6" s="10" t="s">
        <v>240</v>
      </c>
      <c r="H6" s="11" t="s">
        <v>26</v>
      </c>
      <c r="I6" s="11"/>
    </row>
    <row r="7" customFormat="false" ht="15" hidden="false" customHeight="false" outlineLevel="0" collapsed="false">
      <c r="A7" s="10" t="s">
        <v>235</v>
      </c>
      <c r="B7" s="10" t="s">
        <v>251</v>
      </c>
      <c r="C7" s="10" t="s">
        <v>252</v>
      </c>
      <c r="D7" s="10" t="s">
        <v>119</v>
      </c>
      <c r="E7" s="10" t="s">
        <v>253</v>
      </c>
      <c r="F7" s="10" t="s">
        <v>254</v>
      </c>
      <c r="G7" s="10" t="s">
        <v>240</v>
      </c>
      <c r="H7" s="11" t="s">
        <v>26</v>
      </c>
      <c r="I7" s="11"/>
    </row>
    <row r="8" customFormat="false" ht="15" hidden="false" customHeight="false" outlineLevel="0" collapsed="false">
      <c r="A8" s="10" t="s">
        <v>235</v>
      </c>
      <c r="B8" s="10" t="s">
        <v>255</v>
      </c>
      <c r="C8" s="10" t="s">
        <v>256</v>
      </c>
      <c r="D8" s="10" t="s">
        <v>92</v>
      </c>
      <c r="E8" s="10" t="s">
        <v>257</v>
      </c>
      <c r="F8" s="10" t="s">
        <v>258</v>
      </c>
      <c r="G8" s="10" t="s">
        <v>240</v>
      </c>
      <c r="H8" s="11" t="s">
        <v>26</v>
      </c>
      <c r="I8" s="11"/>
    </row>
    <row r="9" customFormat="false" ht="15" hidden="false" customHeight="false" outlineLevel="0" collapsed="false">
      <c r="A9" s="10" t="s">
        <v>235</v>
      </c>
      <c r="B9" s="10" t="s">
        <v>259</v>
      </c>
      <c r="C9" s="10" t="s">
        <v>260</v>
      </c>
      <c r="D9" s="10" t="s">
        <v>119</v>
      </c>
      <c r="E9" s="10" t="s">
        <v>261</v>
      </c>
      <c r="F9" s="10" t="s">
        <v>254</v>
      </c>
      <c r="G9" s="10" t="s">
        <v>240</v>
      </c>
      <c r="H9" s="11" t="s">
        <v>26</v>
      </c>
      <c r="I9" s="11"/>
    </row>
    <row r="10" customFormat="false" ht="23.85" hidden="false" customHeight="false" outlineLevel="0" collapsed="false">
      <c r="A10" s="10" t="s">
        <v>235</v>
      </c>
      <c r="B10" s="10" t="s">
        <v>262</v>
      </c>
      <c r="C10" s="10" t="s">
        <v>263</v>
      </c>
      <c r="D10" s="10" t="s">
        <v>264</v>
      </c>
      <c r="E10" s="10" t="s">
        <v>265</v>
      </c>
      <c r="F10" s="10" t="s">
        <v>266</v>
      </c>
      <c r="G10" s="10" t="s">
        <v>240</v>
      </c>
      <c r="H10" s="11" t="s">
        <v>26</v>
      </c>
      <c r="I10" s="11"/>
    </row>
    <row r="11" customFormat="false" ht="23.85" hidden="false" customHeight="false" outlineLevel="0" collapsed="false">
      <c r="A11" s="10" t="s">
        <v>235</v>
      </c>
      <c r="B11" s="10" t="s">
        <v>267</v>
      </c>
      <c r="C11" s="10" t="s">
        <v>263</v>
      </c>
      <c r="D11" s="10" t="s">
        <v>264</v>
      </c>
      <c r="E11" s="10" t="s">
        <v>268</v>
      </c>
      <c r="F11" s="10"/>
      <c r="G11" s="10" t="s">
        <v>269</v>
      </c>
      <c r="H11" s="11" t="s">
        <v>26</v>
      </c>
      <c r="I11" s="11"/>
    </row>
    <row r="12" customFormat="false" ht="15" hidden="false" customHeight="false" outlineLevel="0" collapsed="false">
      <c r="A12" s="10" t="s">
        <v>235</v>
      </c>
      <c r="B12" s="10" t="s">
        <v>270</v>
      </c>
      <c r="C12" s="10" t="s">
        <v>271</v>
      </c>
      <c r="D12" s="10" t="s">
        <v>114</v>
      </c>
      <c r="E12" s="10" t="s">
        <v>272</v>
      </c>
      <c r="F12" s="10" t="s">
        <v>273</v>
      </c>
      <c r="G12" s="10" t="s">
        <v>269</v>
      </c>
      <c r="H12" s="11" t="s">
        <v>26</v>
      </c>
      <c r="I12" s="11"/>
    </row>
    <row r="13" customFormat="false" ht="15" hidden="false" customHeight="false" outlineLevel="0" collapsed="false">
      <c r="A13" s="10" t="s">
        <v>235</v>
      </c>
      <c r="B13" s="10" t="s">
        <v>274</v>
      </c>
      <c r="C13" s="10" t="s">
        <v>275</v>
      </c>
      <c r="D13" s="10" t="s">
        <v>276</v>
      </c>
      <c r="E13" s="10" t="s">
        <v>277</v>
      </c>
      <c r="F13" s="10" t="s">
        <v>278</v>
      </c>
      <c r="G13" s="10" t="s">
        <v>240</v>
      </c>
      <c r="H13" s="11" t="s">
        <v>26</v>
      </c>
      <c r="I13" s="11"/>
    </row>
    <row r="14" customFormat="false" ht="15" hidden="false" customHeight="false" outlineLevel="0" collapsed="false">
      <c r="A14" s="10" t="s">
        <v>279</v>
      </c>
      <c r="B14" s="10" t="s">
        <v>280</v>
      </c>
      <c r="C14" s="10" t="s">
        <v>281</v>
      </c>
      <c r="D14" s="10" t="s">
        <v>92</v>
      </c>
      <c r="E14" s="10" t="s">
        <v>282</v>
      </c>
      <c r="F14" s="10" t="s">
        <v>250</v>
      </c>
      <c r="G14" s="10" t="s">
        <v>240</v>
      </c>
      <c r="H14" s="11" t="s">
        <v>26</v>
      </c>
      <c r="I14" s="11"/>
    </row>
    <row r="15" customFormat="false" ht="15" hidden="false" customHeight="false" outlineLevel="0" collapsed="false">
      <c r="A15" s="10" t="s">
        <v>279</v>
      </c>
      <c r="B15" s="10" t="s">
        <v>283</v>
      </c>
      <c r="C15" s="10" t="s">
        <v>284</v>
      </c>
      <c r="D15" s="10" t="s">
        <v>92</v>
      </c>
      <c r="E15" s="10" t="s">
        <v>285</v>
      </c>
      <c r="F15" s="10" t="s">
        <v>250</v>
      </c>
      <c r="G15" s="10" t="s">
        <v>240</v>
      </c>
      <c r="H15" s="11" t="s">
        <v>26</v>
      </c>
      <c r="I15" s="11"/>
    </row>
    <row r="16" customFormat="false" ht="23.85" hidden="false" customHeight="false" outlineLevel="0" collapsed="false">
      <c r="A16" s="10" t="s">
        <v>279</v>
      </c>
      <c r="B16" s="10" t="s">
        <v>286</v>
      </c>
      <c r="C16" s="10" t="s">
        <v>287</v>
      </c>
      <c r="D16" s="10" t="s">
        <v>114</v>
      </c>
      <c r="E16" s="10" t="s">
        <v>288</v>
      </c>
      <c r="F16" s="10" t="s">
        <v>289</v>
      </c>
      <c r="G16" s="10" t="s">
        <v>240</v>
      </c>
      <c r="H16" s="11" t="s">
        <v>26</v>
      </c>
      <c r="I16" s="11"/>
    </row>
    <row r="17" customFormat="false" ht="15" hidden="false" customHeight="false" outlineLevel="0" collapsed="false">
      <c r="A17" s="10" t="s">
        <v>279</v>
      </c>
      <c r="B17" s="10" t="s">
        <v>290</v>
      </c>
      <c r="C17" s="10" t="s">
        <v>291</v>
      </c>
      <c r="D17" s="10" t="s">
        <v>82</v>
      </c>
      <c r="E17" s="10" t="s">
        <v>292</v>
      </c>
      <c r="F17" s="10" t="s">
        <v>278</v>
      </c>
      <c r="G17" s="10" t="s">
        <v>240</v>
      </c>
      <c r="H17" s="11" t="s">
        <v>26</v>
      </c>
      <c r="I17" s="11"/>
    </row>
    <row r="18" customFormat="false" ht="15" hidden="false" customHeight="false" outlineLevel="0" collapsed="false">
      <c r="A18" s="10" t="s">
        <v>279</v>
      </c>
      <c r="B18" s="10" t="s">
        <v>293</v>
      </c>
      <c r="C18" s="10" t="s">
        <v>294</v>
      </c>
      <c r="D18" s="10" t="s">
        <v>295</v>
      </c>
      <c r="E18" s="10" t="s">
        <v>296</v>
      </c>
      <c r="F18" s="10" t="s">
        <v>297</v>
      </c>
      <c r="G18" s="10" t="s">
        <v>240</v>
      </c>
      <c r="H18" s="11" t="s">
        <v>26</v>
      </c>
      <c r="I18" s="11"/>
    </row>
    <row r="19" customFormat="false" ht="23.85" hidden="false" customHeight="false" outlineLevel="0" collapsed="false">
      <c r="A19" s="10" t="s">
        <v>279</v>
      </c>
      <c r="B19" s="10" t="s">
        <v>298</v>
      </c>
      <c r="C19" s="10" t="s">
        <v>299</v>
      </c>
      <c r="D19" s="10" t="s">
        <v>114</v>
      </c>
      <c r="E19" s="10" t="s">
        <v>300</v>
      </c>
      <c r="F19" s="10" t="s">
        <v>301</v>
      </c>
      <c r="G19" s="10" t="s">
        <v>240</v>
      </c>
      <c r="H19" s="11" t="s">
        <v>26</v>
      </c>
      <c r="I19" s="11"/>
    </row>
    <row r="20" customFormat="false" ht="15" hidden="false" customHeight="false" outlineLevel="0" collapsed="false">
      <c r="A20" s="10" t="s">
        <v>302</v>
      </c>
      <c r="B20" s="10" t="s">
        <v>303</v>
      </c>
      <c r="C20" s="10" t="s">
        <v>304</v>
      </c>
      <c r="D20" s="10" t="s">
        <v>167</v>
      </c>
      <c r="E20" s="10" t="s">
        <v>305</v>
      </c>
      <c r="F20" s="10" t="s">
        <v>306</v>
      </c>
      <c r="G20" s="10" t="s">
        <v>240</v>
      </c>
      <c r="H20" s="11" t="s">
        <v>26</v>
      </c>
      <c r="I20" s="11"/>
    </row>
    <row r="21" customFormat="false" ht="15" hidden="false" customHeight="false" outlineLevel="0" collapsed="false">
      <c r="A21" s="10" t="s">
        <v>302</v>
      </c>
      <c r="B21" s="10" t="s">
        <v>307</v>
      </c>
      <c r="C21" s="10" t="s">
        <v>308</v>
      </c>
      <c r="D21" s="10" t="s">
        <v>309</v>
      </c>
      <c r="E21" s="10" t="s">
        <v>310</v>
      </c>
      <c r="F21" s="10" t="s">
        <v>311</v>
      </c>
      <c r="G21" s="10" t="s">
        <v>240</v>
      </c>
      <c r="H21" s="11" t="s">
        <v>26</v>
      </c>
      <c r="I21" s="11"/>
    </row>
    <row r="22" customFormat="false" ht="15" hidden="false" customHeight="false" outlineLevel="0" collapsed="false">
      <c r="A22" s="10" t="s">
        <v>302</v>
      </c>
      <c r="B22" s="10" t="s">
        <v>312</v>
      </c>
      <c r="C22" s="10" t="s">
        <v>313</v>
      </c>
      <c r="D22" s="10" t="s">
        <v>114</v>
      </c>
      <c r="E22" s="10" t="s">
        <v>314</v>
      </c>
      <c r="F22" s="10" t="s">
        <v>315</v>
      </c>
      <c r="G22" s="10" t="s">
        <v>240</v>
      </c>
      <c r="H22" s="11" t="s">
        <v>26</v>
      </c>
      <c r="I22" s="11"/>
    </row>
    <row r="23" customFormat="false" ht="15" hidden="false" customHeight="false" outlineLevel="0" collapsed="false">
      <c r="A23" s="10" t="s">
        <v>302</v>
      </c>
      <c r="B23" s="10" t="s">
        <v>316</v>
      </c>
      <c r="C23" s="10" t="s">
        <v>317</v>
      </c>
      <c r="D23" s="10" t="s">
        <v>82</v>
      </c>
      <c r="E23" s="10" t="s">
        <v>318</v>
      </c>
      <c r="F23" s="10" t="s">
        <v>319</v>
      </c>
      <c r="G23" s="10" t="s">
        <v>240</v>
      </c>
      <c r="H23" s="11" t="s">
        <v>26</v>
      </c>
      <c r="I23" s="11"/>
    </row>
    <row r="24" customFormat="false" ht="23.85" hidden="false" customHeight="false" outlineLevel="0" collapsed="false">
      <c r="A24" s="10" t="s">
        <v>320</v>
      </c>
      <c r="B24" s="10" t="s">
        <v>321</v>
      </c>
      <c r="C24" s="10" t="s">
        <v>322</v>
      </c>
      <c r="D24" s="10" t="s">
        <v>114</v>
      </c>
      <c r="E24" s="10" t="s">
        <v>323</v>
      </c>
      <c r="F24" s="10" t="s">
        <v>250</v>
      </c>
      <c r="G24" s="10" t="s">
        <v>240</v>
      </c>
      <c r="H24" s="11" t="s">
        <v>26</v>
      </c>
      <c r="I24" s="11"/>
    </row>
    <row r="25" customFormat="false" ht="23.85" hidden="false" customHeight="false" outlineLevel="0" collapsed="false">
      <c r="A25" s="10" t="s">
        <v>320</v>
      </c>
      <c r="B25" s="10" t="s">
        <v>324</v>
      </c>
      <c r="C25" s="10" t="s">
        <v>81</v>
      </c>
      <c r="D25" s="10" t="s">
        <v>264</v>
      </c>
      <c r="E25" s="10" t="s">
        <v>325</v>
      </c>
      <c r="F25" s="10" t="s">
        <v>250</v>
      </c>
      <c r="G25" s="10" t="s">
        <v>240</v>
      </c>
      <c r="H25" s="11" t="s">
        <v>26</v>
      </c>
      <c r="I25" s="11"/>
    </row>
    <row r="26" customFormat="false" ht="23.85" hidden="false" customHeight="false" outlineLevel="0" collapsed="false">
      <c r="A26" s="10" t="s">
        <v>320</v>
      </c>
      <c r="B26" s="10" t="s">
        <v>326</v>
      </c>
      <c r="C26" s="10" t="s">
        <v>327</v>
      </c>
      <c r="D26" s="10" t="s">
        <v>146</v>
      </c>
      <c r="E26" s="10" t="s">
        <v>328</v>
      </c>
      <c r="F26" s="10" t="s">
        <v>329</v>
      </c>
      <c r="G26" s="10" t="s">
        <v>240</v>
      </c>
      <c r="H26" s="11" t="s">
        <v>26</v>
      </c>
      <c r="I26" s="11"/>
    </row>
    <row r="27" customFormat="false" ht="23.85" hidden="false" customHeight="false" outlineLevel="0" collapsed="false">
      <c r="A27" s="10" t="s">
        <v>320</v>
      </c>
      <c r="B27" s="10" t="s">
        <v>330</v>
      </c>
      <c r="C27" s="10" t="s">
        <v>331</v>
      </c>
      <c r="D27" s="10" t="s">
        <v>276</v>
      </c>
      <c r="E27" s="10" t="s">
        <v>332</v>
      </c>
      <c r="F27" s="10" t="s">
        <v>333</v>
      </c>
      <c r="G27" s="10" t="s">
        <v>269</v>
      </c>
      <c r="H27" s="11" t="s">
        <v>26</v>
      </c>
      <c r="I27" s="11"/>
    </row>
    <row r="28" customFormat="false" ht="23.85" hidden="false" customHeight="false" outlineLevel="0" collapsed="false">
      <c r="A28" s="10" t="s">
        <v>320</v>
      </c>
      <c r="B28" s="10" t="s">
        <v>334</v>
      </c>
      <c r="C28" s="10" t="s">
        <v>335</v>
      </c>
      <c r="D28" s="10" t="s">
        <v>167</v>
      </c>
      <c r="E28" s="10" t="s">
        <v>336</v>
      </c>
      <c r="F28" s="10"/>
      <c r="G28" s="10" t="s">
        <v>269</v>
      </c>
      <c r="H28" s="11" t="s">
        <v>26</v>
      </c>
      <c r="I28" s="11"/>
    </row>
    <row r="29" customFormat="false" ht="23.85" hidden="false" customHeight="false" outlineLevel="0" collapsed="false">
      <c r="A29" s="10" t="s">
        <v>320</v>
      </c>
      <c r="B29" s="10" t="s">
        <v>337</v>
      </c>
      <c r="C29" s="10" t="s">
        <v>338</v>
      </c>
      <c r="D29" s="10" t="s">
        <v>167</v>
      </c>
      <c r="E29" s="10" t="s">
        <v>339</v>
      </c>
      <c r="F29" s="10" t="s">
        <v>340</v>
      </c>
      <c r="G29" s="10" t="s">
        <v>269</v>
      </c>
      <c r="H29" s="11" t="s">
        <v>26</v>
      </c>
      <c r="I29" s="11"/>
    </row>
    <row r="30" customFormat="false" ht="23.85" hidden="false" customHeight="false" outlineLevel="0" collapsed="false">
      <c r="A30" s="10" t="s">
        <v>341</v>
      </c>
      <c r="B30" s="10" t="s">
        <v>342</v>
      </c>
      <c r="C30" s="10" t="s">
        <v>343</v>
      </c>
      <c r="D30" s="10" t="s">
        <v>344</v>
      </c>
      <c r="E30" s="10" t="s">
        <v>345</v>
      </c>
      <c r="F30" s="10" t="s">
        <v>346</v>
      </c>
      <c r="G30" s="10" t="s">
        <v>240</v>
      </c>
      <c r="H30" s="11" t="s">
        <v>26</v>
      </c>
      <c r="I30" s="11"/>
    </row>
    <row r="31" customFormat="false" ht="23.85" hidden="false" customHeight="false" outlineLevel="0" collapsed="false">
      <c r="A31" s="10" t="s">
        <v>341</v>
      </c>
      <c r="B31" s="10" t="s">
        <v>347</v>
      </c>
      <c r="C31" s="10" t="s">
        <v>348</v>
      </c>
      <c r="D31" s="10" t="s">
        <v>264</v>
      </c>
      <c r="E31" s="10" t="s">
        <v>349</v>
      </c>
      <c r="F31" s="10" t="s">
        <v>346</v>
      </c>
      <c r="G31" s="10" t="s">
        <v>240</v>
      </c>
      <c r="H31" s="11" t="s">
        <v>26</v>
      </c>
      <c r="I31" s="11"/>
    </row>
    <row r="32" customFormat="false" ht="23.85" hidden="false" customHeight="false" outlineLevel="0" collapsed="false">
      <c r="A32" s="10" t="s">
        <v>341</v>
      </c>
      <c r="B32" s="10" t="s">
        <v>350</v>
      </c>
      <c r="C32" s="10" t="s">
        <v>351</v>
      </c>
      <c r="D32" s="10" t="s">
        <v>344</v>
      </c>
      <c r="E32" s="10" t="s">
        <v>352</v>
      </c>
      <c r="F32" s="10" t="s">
        <v>353</v>
      </c>
      <c r="G32" s="10" t="s">
        <v>240</v>
      </c>
      <c r="H32" s="11" t="s">
        <v>26</v>
      </c>
      <c r="I32" s="11"/>
    </row>
    <row r="33" customFormat="false" ht="15" hidden="false" customHeight="false" outlineLevel="0" collapsed="false">
      <c r="A33" s="10" t="s">
        <v>341</v>
      </c>
      <c r="B33" s="10" t="s">
        <v>354</v>
      </c>
      <c r="C33" s="10" t="s">
        <v>355</v>
      </c>
      <c r="D33" s="10" t="s">
        <v>356</v>
      </c>
      <c r="E33" s="10" t="s">
        <v>357</v>
      </c>
      <c r="F33" s="10"/>
      <c r="G33" s="10" t="s">
        <v>269</v>
      </c>
      <c r="H33" s="11" t="s">
        <v>26</v>
      </c>
      <c r="I33" s="11"/>
    </row>
    <row r="34" customFormat="false" ht="23.85" hidden="false" customHeight="false" outlineLevel="0" collapsed="false">
      <c r="A34" s="10" t="s">
        <v>341</v>
      </c>
      <c r="B34" s="10" t="s">
        <v>358</v>
      </c>
      <c r="C34" s="10" t="s">
        <v>359</v>
      </c>
      <c r="D34" s="10" t="s">
        <v>344</v>
      </c>
      <c r="E34" s="10" t="s">
        <v>360</v>
      </c>
      <c r="F34" s="10" t="s">
        <v>361</v>
      </c>
      <c r="G34" s="10" t="s">
        <v>240</v>
      </c>
      <c r="H34" s="11" t="s">
        <v>26</v>
      </c>
      <c r="I34" s="11"/>
    </row>
    <row r="35" customFormat="false" ht="23.85" hidden="false" customHeight="false" outlineLevel="0" collapsed="false">
      <c r="A35" s="10" t="s">
        <v>341</v>
      </c>
      <c r="B35" s="10" t="s">
        <v>362</v>
      </c>
      <c r="C35" s="10" t="s">
        <v>363</v>
      </c>
      <c r="D35" s="10" t="s">
        <v>146</v>
      </c>
      <c r="E35" s="10" t="s">
        <v>364</v>
      </c>
      <c r="F35" s="10" t="s">
        <v>346</v>
      </c>
      <c r="G35" s="10" t="s">
        <v>269</v>
      </c>
      <c r="H35" s="11" t="s">
        <v>26</v>
      </c>
      <c r="I35" s="11"/>
    </row>
    <row r="36" customFormat="false" ht="23.85" hidden="false" customHeight="false" outlineLevel="0" collapsed="false">
      <c r="A36" s="10" t="s">
        <v>365</v>
      </c>
      <c r="B36" s="10" t="s">
        <v>366</v>
      </c>
      <c r="C36" s="10" t="s">
        <v>367</v>
      </c>
      <c r="D36" s="10" t="s">
        <v>368</v>
      </c>
      <c r="E36" s="10" t="s">
        <v>369</v>
      </c>
      <c r="F36" s="10" t="s">
        <v>370</v>
      </c>
      <c r="G36" s="10" t="s">
        <v>269</v>
      </c>
      <c r="H36" s="11" t="s">
        <v>26</v>
      </c>
      <c r="I36" s="11"/>
    </row>
    <row r="37" customFormat="false" ht="23.85" hidden="false" customHeight="false" outlineLevel="0" collapsed="false">
      <c r="A37" s="10" t="s">
        <v>365</v>
      </c>
      <c r="B37" s="10" t="s">
        <v>371</v>
      </c>
      <c r="C37" s="10" t="s">
        <v>367</v>
      </c>
      <c r="D37" s="10" t="s">
        <v>372</v>
      </c>
      <c r="E37" s="10" t="s">
        <v>373</v>
      </c>
      <c r="F37" s="10" t="s">
        <v>370</v>
      </c>
      <c r="G37" s="10" t="s">
        <v>269</v>
      </c>
      <c r="H37" s="11" t="s">
        <v>26</v>
      </c>
      <c r="I37" s="11"/>
    </row>
    <row r="38" customFormat="false" ht="15" hidden="false" customHeight="false" outlineLevel="0" collapsed="false">
      <c r="A38" s="10" t="s">
        <v>365</v>
      </c>
      <c r="B38" s="10" t="s">
        <v>374</v>
      </c>
      <c r="C38" s="10" t="s">
        <v>375</v>
      </c>
      <c r="D38" s="10" t="s">
        <v>163</v>
      </c>
      <c r="E38" s="10" t="s">
        <v>376</v>
      </c>
      <c r="F38" s="10" t="s">
        <v>278</v>
      </c>
      <c r="G38" s="10" t="s">
        <v>269</v>
      </c>
      <c r="H38" s="11" t="s">
        <v>26</v>
      </c>
      <c r="I38" s="11"/>
    </row>
    <row r="39" customFormat="false" ht="23.85" hidden="false" customHeight="false" outlineLevel="0" collapsed="false">
      <c r="A39" s="10" t="s">
        <v>377</v>
      </c>
      <c r="B39" s="10" t="s">
        <v>378</v>
      </c>
      <c r="C39" s="10" t="s">
        <v>379</v>
      </c>
      <c r="D39" s="10" t="s">
        <v>380</v>
      </c>
      <c r="E39" s="10" t="s">
        <v>381</v>
      </c>
      <c r="F39" s="10" t="s">
        <v>382</v>
      </c>
      <c r="G39" s="10" t="s">
        <v>269</v>
      </c>
      <c r="H39" s="11" t="s">
        <v>26</v>
      </c>
      <c r="I39" s="11"/>
    </row>
    <row r="40" customFormat="false" ht="15" hidden="false" customHeight="false" outlineLevel="0" collapsed="false">
      <c r="A40" s="10" t="s">
        <v>377</v>
      </c>
      <c r="B40" s="10" t="s">
        <v>383</v>
      </c>
      <c r="C40" s="10" t="s">
        <v>384</v>
      </c>
      <c r="D40" s="10" t="s">
        <v>380</v>
      </c>
      <c r="E40" s="10" t="s">
        <v>385</v>
      </c>
      <c r="F40" s="10" t="s">
        <v>250</v>
      </c>
      <c r="G40" s="10" t="s">
        <v>269</v>
      </c>
      <c r="H40" s="11" t="s">
        <v>26</v>
      </c>
      <c r="I40" s="11"/>
    </row>
    <row r="41" customFormat="false" ht="15" hidden="false" customHeight="false" outlineLevel="0" collapsed="false">
      <c r="A41" s="10" t="s">
        <v>377</v>
      </c>
      <c r="B41" s="10" t="s">
        <v>386</v>
      </c>
      <c r="C41" s="10" t="s">
        <v>387</v>
      </c>
      <c r="D41" s="10" t="s">
        <v>388</v>
      </c>
      <c r="E41" s="10" t="s">
        <v>389</v>
      </c>
      <c r="F41" s="10" t="s">
        <v>390</v>
      </c>
      <c r="G41" s="10" t="s">
        <v>269</v>
      </c>
      <c r="H41" s="11" t="s">
        <v>26</v>
      </c>
      <c r="I41" s="11"/>
    </row>
    <row r="42" customFormat="false" ht="15" hidden="false" customHeight="false" outlineLevel="0" collapsed="false">
      <c r="A42" s="10" t="s">
        <v>391</v>
      </c>
      <c r="B42" s="10" t="s">
        <v>392</v>
      </c>
      <c r="C42" s="10" t="s">
        <v>393</v>
      </c>
      <c r="D42" s="10" t="s">
        <v>394</v>
      </c>
      <c r="E42" s="10" t="s">
        <v>395</v>
      </c>
      <c r="F42" s="10" t="s">
        <v>396</v>
      </c>
      <c r="G42" s="10" t="s">
        <v>269</v>
      </c>
      <c r="H42" s="11" t="s">
        <v>26</v>
      </c>
      <c r="I42" s="11"/>
    </row>
    <row r="43" customFormat="false" ht="15" hidden="false" customHeight="false" outlineLevel="0" collapsed="false">
      <c r="A43" s="10" t="s">
        <v>391</v>
      </c>
      <c r="B43" s="10" t="s">
        <v>397</v>
      </c>
      <c r="C43" s="10" t="s">
        <v>398</v>
      </c>
      <c r="D43" s="10" t="s">
        <v>399</v>
      </c>
      <c r="E43" s="10" t="s">
        <v>400</v>
      </c>
      <c r="F43" s="10" t="s">
        <v>401</v>
      </c>
      <c r="G43" s="10" t="s">
        <v>269</v>
      </c>
      <c r="H43" s="11" t="s">
        <v>26</v>
      </c>
      <c r="I43" s="11"/>
    </row>
    <row r="44" customFormat="false" ht="15" hidden="false" customHeight="false" outlineLevel="0" collapsed="false">
      <c r="A44" s="10" t="s">
        <v>391</v>
      </c>
      <c r="B44" s="10" t="s">
        <v>402</v>
      </c>
      <c r="C44" s="10" t="s">
        <v>403</v>
      </c>
      <c r="D44" s="10" t="s">
        <v>404</v>
      </c>
      <c r="E44" s="10" t="s">
        <v>405</v>
      </c>
      <c r="F44" s="10" t="s">
        <v>250</v>
      </c>
      <c r="G44" s="10" t="s">
        <v>269</v>
      </c>
      <c r="H44" s="11" t="s">
        <v>26</v>
      </c>
      <c r="I44" s="11"/>
    </row>
    <row r="45" customFormat="false" ht="15" hidden="false" customHeight="false" outlineLevel="0" collapsed="false">
      <c r="A45" s="10" t="s">
        <v>391</v>
      </c>
      <c r="B45" s="10" t="s">
        <v>406</v>
      </c>
      <c r="C45" s="10" t="s">
        <v>407</v>
      </c>
      <c r="D45" s="10" t="s">
        <v>142</v>
      </c>
      <c r="E45" s="10" t="s">
        <v>408</v>
      </c>
      <c r="F45" s="10" t="s">
        <v>409</v>
      </c>
      <c r="G45" s="10" t="s">
        <v>269</v>
      </c>
      <c r="H45" s="11" t="s">
        <v>26</v>
      </c>
      <c r="I45" s="11"/>
    </row>
  </sheetData>
  <autoFilter ref="A2:I45"/>
  <mergeCells count="1">
    <mergeCell ref="A1:I1"/>
  </mergeCells>
  <conditionalFormatting sqref="A3:I45">
    <cfRule type="expression" priority="2" aboveAverage="0" equalAverage="0" bottom="0" percent="0" rank="0" text="" dxfId="4">
      <formula>OR($H3="Fixed",$H3="Checked",$H3="Not needed")</formula>
    </cfRule>
  </conditionalFormatting>
  <dataValidations count="1">
    <dataValidation allowBlank="true" errorStyle="stop" operator="between" showDropDown="false" showErrorMessage="false" showInputMessage="false" sqref="H3:H45" type="list">
      <formula1>"To do,Checked,Fixed,Not needed"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3" min="3" style="0" width="7"/>
    <col collapsed="false" customWidth="true" hidden="false" outlineLevel="0" max="4" min="4" style="0" width="50"/>
    <col collapsed="false" customWidth="true" hidden="false" outlineLevel="0" max="5" min="5" style="0" width="30"/>
  </cols>
  <sheetData>
    <row r="1" customFormat="false" ht="30" hidden="false" customHeight="true" outlineLevel="0" collapsed="false">
      <c r="A1" s="8" t="s">
        <v>410</v>
      </c>
      <c r="B1" s="8"/>
      <c r="C1" s="8"/>
      <c r="D1" s="8"/>
      <c r="E1" s="8"/>
    </row>
    <row r="2" customFormat="false" ht="15" hidden="false" customHeight="false" outlineLevel="0" collapsed="false">
      <c r="A2" s="9" t="s">
        <v>16</v>
      </c>
      <c r="B2" s="9" t="s">
        <v>64</v>
      </c>
      <c r="C2" s="9" t="s">
        <v>65</v>
      </c>
      <c r="D2" s="9" t="s">
        <v>66</v>
      </c>
      <c r="E2" s="9" t="s">
        <v>233</v>
      </c>
    </row>
    <row r="3" customFormat="false" ht="23.85" hidden="false" customHeight="false" outlineLevel="0" collapsed="false">
      <c r="A3" s="10" t="s">
        <v>411</v>
      </c>
      <c r="B3" s="10" t="s">
        <v>412</v>
      </c>
      <c r="C3" s="10" t="s">
        <v>135</v>
      </c>
      <c r="D3" s="10" t="s">
        <v>413</v>
      </c>
      <c r="E3" s="10" t="s">
        <v>239</v>
      </c>
    </row>
    <row r="4" customFormat="false" ht="15" hidden="false" customHeight="false" outlineLevel="0" collapsed="false">
      <c r="A4" s="10" t="s">
        <v>414</v>
      </c>
      <c r="B4" s="10" t="s">
        <v>260</v>
      </c>
      <c r="C4" s="10" t="s">
        <v>135</v>
      </c>
      <c r="D4" s="10" t="s">
        <v>415</v>
      </c>
      <c r="E4" s="10"/>
    </row>
    <row r="5" customFormat="false" ht="15" hidden="false" customHeight="false" outlineLevel="0" collapsed="false">
      <c r="A5" s="10" t="s">
        <v>416</v>
      </c>
      <c r="B5" s="10" t="s">
        <v>417</v>
      </c>
      <c r="C5" s="10" t="s">
        <v>388</v>
      </c>
      <c r="D5" s="10" t="s">
        <v>418</v>
      </c>
      <c r="E5" s="10" t="s">
        <v>419</v>
      </c>
    </row>
    <row r="6" customFormat="false" ht="23.85" hidden="false" customHeight="false" outlineLevel="0" collapsed="false">
      <c r="A6" s="10" t="s">
        <v>420</v>
      </c>
      <c r="B6" s="10" t="s">
        <v>421</v>
      </c>
      <c r="C6" s="10" t="s">
        <v>87</v>
      </c>
      <c r="D6" s="10" t="s">
        <v>422</v>
      </c>
      <c r="E6" s="10" t="s">
        <v>423</v>
      </c>
    </row>
    <row r="7" customFormat="false" ht="15" hidden="false" customHeight="false" outlineLevel="0" collapsed="false">
      <c r="A7" s="10" t="s">
        <v>424</v>
      </c>
      <c r="B7" s="10" t="s">
        <v>425</v>
      </c>
      <c r="C7" s="10"/>
      <c r="D7" s="10" t="s">
        <v>426</v>
      </c>
      <c r="E7" s="10"/>
    </row>
    <row r="8" customFormat="false" ht="15" hidden="false" customHeight="false" outlineLevel="0" collapsed="false">
      <c r="A8" s="10" t="s">
        <v>427</v>
      </c>
      <c r="B8" s="10" t="s">
        <v>428</v>
      </c>
      <c r="C8" s="10" t="s">
        <v>135</v>
      </c>
      <c r="D8" s="10" t="s">
        <v>429</v>
      </c>
      <c r="E8" s="10" t="s">
        <v>430</v>
      </c>
    </row>
    <row r="9" customFormat="false" ht="15" hidden="false" customHeight="false" outlineLevel="0" collapsed="false">
      <c r="A9" s="10" t="s">
        <v>431</v>
      </c>
      <c r="B9" s="10" t="s">
        <v>432</v>
      </c>
      <c r="C9" s="10" t="s">
        <v>167</v>
      </c>
      <c r="D9" s="10" t="s">
        <v>433</v>
      </c>
      <c r="E9" s="10" t="s">
        <v>434</v>
      </c>
    </row>
    <row r="10" customFormat="false" ht="15" hidden="false" customHeight="false" outlineLevel="0" collapsed="false">
      <c r="A10" s="10" t="s">
        <v>435</v>
      </c>
      <c r="B10" s="10" t="s">
        <v>263</v>
      </c>
      <c r="C10" s="10" t="s">
        <v>87</v>
      </c>
      <c r="D10" s="10" t="s">
        <v>436</v>
      </c>
      <c r="E10" s="10" t="s">
        <v>340</v>
      </c>
    </row>
    <row r="11" customFormat="false" ht="15" hidden="false" customHeight="false" outlineLevel="0" collapsed="false">
      <c r="A11" s="10" t="s">
        <v>437</v>
      </c>
      <c r="B11" s="10" t="s">
        <v>438</v>
      </c>
      <c r="C11" s="10" t="s">
        <v>309</v>
      </c>
      <c r="D11" s="10" t="s">
        <v>439</v>
      </c>
      <c r="E11" s="10" t="s">
        <v>440</v>
      </c>
    </row>
    <row r="12" customFormat="false" ht="15" hidden="false" customHeight="false" outlineLevel="0" collapsed="false">
      <c r="A12" s="10" t="s">
        <v>441</v>
      </c>
      <c r="B12" s="10" t="s">
        <v>442</v>
      </c>
      <c r="C12" s="10" t="s">
        <v>380</v>
      </c>
      <c r="D12" s="10" t="s">
        <v>443</v>
      </c>
      <c r="E12" s="10" t="s">
        <v>250</v>
      </c>
    </row>
    <row r="13" customFormat="false" ht="15" hidden="false" customHeight="false" outlineLevel="0" collapsed="false">
      <c r="A13" s="10" t="s">
        <v>444</v>
      </c>
      <c r="B13" s="10" t="s">
        <v>445</v>
      </c>
      <c r="C13" s="10"/>
      <c r="D13" s="10" t="s">
        <v>446</v>
      </c>
      <c r="E13" s="10"/>
    </row>
    <row r="14" customFormat="false" ht="23.85" hidden="false" customHeight="false" outlineLevel="0" collapsed="false">
      <c r="A14" s="10" t="s">
        <v>447</v>
      </c>
      <c r="B14" s="10" t="s">
        <v>448</v>
      </c>
      <c r="C14" s="10" t="s">
        <v>404</v>
      </c>
      <c r="D14" s="10" t="s">
        <v>449</v>
      </c>
      <c r="E14" s="10" t="s">
        <v>450</v>
      </c>
    </row>
    <row r="15" customFormat="false" ht="15" hidden="false" customHeight="false" outlineLevel="0" collapsed="false">
      <c r="A15" s="10" t="s">
        <v>451</v>
      </c>
      <c r="B15" s="10" t="s">
        <v>452</v>
      </c>
      <c r="C15" s="10"/>
      <c r="D15" s="10" t="s">
        <v>453</v>
      </c>
      <c r="E15" s="10" t="s">
        <v>454</v>
      </c>
    </row>
    <row r="16" customFormat="false" ht="15" hidden="false" customHeight="false" outlineLevel="0" collapsed="false">
      <c r="A16" s="10" t="s">
        <v>455</v>
      </c>
      <c r="B16" s="10" t="s">
        <v>456</v>
      </c>
      <c r="C16" s="10" t="s">
        <v>404</v>
      </c>
      <c r="D16" s="10" t="s">
        <v>457</v>
      </c>
      <c r="E16" s="10" t="s">
        <v>340</v>
      </c>
    </row>
    <row r="17" customFormat="false" ht="15" hidden="false" customHeight="false" outlineLevel="0" collapsed="false">
      <c r="A17" s="10" t="s">
        <v>458</v>
      </c>
      <c r="B17" s="10" t="s">
        <v>459</v>
      </c>
      <c r="C17" s="10" t="s">
        <v>198</v>
      </c>
      <c r="D17" s="10" t="s">
        <v>460</v>
      </c>
      <c r="E17" s="10"/>
    </row>
    <row r="18" customFormat="false" ht="23.85" hidden="false" customHeight="false" outlineLevel="0" collapsed="false">
      <c r="A18" s="10" t="s">
        <v>461</v>
      </c>
      <c r="B18" s="10" t="s">
        <v>462</v>
      </c>
      <c r="C18" s="10" t="s">
        <v>102</v>
      </c>
      <c r="D18" s="10" t="s">
        <v>463</v>
      </c>
      <c r="E18" s="10" t="s">
        <v>250</v>
      </c>
    </row>
    <row r="19" customFormat="false" ht="15" hidden="false" customHeight="false" outlineLevel="0" collapsed="false">
      <c r="A19" s="10" t="s">
        <v>464</v>
      </c>
      <c r="B19" s="10" t="s">
        <v>465</v>
      </c>
      <c r="C19" s="10" t="s">
        <v>142</v>
      </c>
      <c r="D19" s="10" t="s">
        <v>466</v>
      </c>
      <c r="E19" s="10" t="s">
        <v>467</v>
      </c>
    </row>
    <row r="20" customFormat="false" ht="23.85" hidden="false" customHeight="false" outlineLevel="0" collapsed="false">
      <c r="A20" s="10" t="s">
        <v>468</v>
      </c>
      <c r="B20" s="10" t="s">
        <v>469</v>
      </c>
      <c r="C20" s="10" t="s">
        <v>198</v>
      </c>
      <c r="D20" s="10" t="s">
        <v>470</v>
      </c>
      <c r="E20" s="10"/>
    </row>
    <row r="21" customFormat="false" ht="23.85" hidden="false" customHeight="false" outlineLevel="0" collapsed="false">
      <c r="A21" s="10" t="s">
        <v>471</v>
      </c>
      <c r="B21" s="10" t="s">
        <v>472</v>
      </c>
      <c r="C21" s="10" t="s">
        <v>167</v>
      </c>
      <c r="D21" s="10" t="s">
        <v>473</v>
      </c>
      <c r="E21" s="10" t="s">
        <v>250</v>
      </c>
    </row>
    <row r="22" customFormat="false" ht="23.85" hidden="false" customHeight="false" outlineLevel="0" collapsed="false">
      <c r="A22" s="10" t="s">
        <v>474</v>
      </c>
      <c r="B22" s="10" t="s">
        <v>475</v>
      </c>
      <c r="C22" s="10" t="s">
        <v>167</v>
      </c>
      <c r="D22" s="10" t="s">
        <v>476</v>
      </c>
      <c r="E22" s="10" t="s">
        <v>477</v>
      </c>
    </row>
    <row r="23" customFormat="false" ht="15" hidden="false" customHeight="false" outlineLevel="0" collapsed="false">
      <c r="A23" s="10" t="s">
        <v>478</v>
      </c>
      <c r="B23" s="10" t="s">
        <v>479</v>
      </c>
      <c r="C23" s="10" t="s">
        <v>92</v>
      </c>
      <c r="D23" s="10" t="s">
        <v>480</v>
      </c>
      <c r="E23" s="10" t="s">
        <v>250</v>
      </c>
    </row>
    <row r="24" customFormat="false" ht="15" hidden="false" customHeight="false" outlineLevel="0" collapsed="false">
      <c r="A24" s="10" t="s">
        <v>481</v>
      </c>
      <c r="B24" s="10" t="s">
        <v>482</v>
      </c>
      <c r="C24" s="10" t="s">
        <v>483</v>
      </c>
      <c r="D24" s="10" t="s">
        <v>484</v>
      </c>
      <c r="E24" s="10" t="s">
        <v>485</v>
      </c>
    </row>
    <row r="25" customFormat="false" ht="15" hidden="false" customHeight="false" outlineLevel="0" collapsed="false">
      <c r="A25" s="10" t="s">
        <v>486</v>
      </c>
      <c r="B25" s="10" t="s">
        <v>487</v>
      </c>
      <c r="C25" s="10" t="s">
        <v>488</v>
      </c>
      <c r="D25" s="10" t="s">
        <v>489</v>
      </c>
      <c r="E25" s="10" t="s">
        <v>490</v>
      </c>
    </row>
    <row r="26" customFormat="false" ht="23.85" hidden="false" customHeight="false" outlineLevel="0" collapsed="false">
      <c r="A26" s="10" t="s">
        <v>491</v>
      </c>
      <c r="B26" s="10" t="s">
        <v>492</v>
      </c>
      <c r="C26" s="10" t="s">
        <v>92</v>
      </c>
      <c r="D26" s="10" t="s">
        <v>493</v>
      </c>
      <c r="E26" s="10" t="s">
        <v>329</v>
      </c>
    </row>
  </sheetData>
  <autoFilter ref="A2:E26"/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2026-10-09T16:10:35Z</dcterms:created>
  <dc:creator>openpyxl</dc:creator>
  <dc:description/>
  <dc:language>en-US</dc:language>
  <cp:lastModifiedBy/>
  <dcterms:modified xsi:type="dcterms:W3CDTF">2026-10-09T16:10:35Z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